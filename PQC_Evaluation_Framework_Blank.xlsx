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coring" sheetId="2" r:id="rId6"/>
    <sheet state="visible" name="Evidence" sheetId="3" r:id="rId7"/>
    <sheet state="visible" name="Results" sheetId="4" r:id="rId8"/>
  </sheets>
  <definedNames/>
  <calcPr/>
</workbook>
</file>

<file path=xl/sharedStrings.xml><?xml version="1.0" encoding="utf-8"?>
<sst xmlns="http://schemas.openxmlformats.org/spreadsheetml/2006/main" count="340" uniqueCount="218">
  <si>
    <t>PQC Migration Evaluation Framework — How to Use</t>
  </si>
  <si>
    <t>SHEETS</t>
  </si>
  <si>
    <t>Scoring</t>
  </si>
  <si>
    <t>Main input sheet. Enter 1 (met) or 0 (not met) for each criterion per nation. Sub-factor and category scores calculate automatically in the grey and coloured rows.</t>
  </si>
  <si>
    <t>Evidence</t>
  </si>
  <si>
    <t>Companion to Scoring. Paste source URL, document name, and access date next to each criterion.</t>
  </si>
  <si>
    <t>Results</t>
  </si>
  <si>
    <t>Auto-calculated dashboard. Shows final weighted scores (0–100), sub-factor breakdown, and a radar chart comparing all nations.</t>
  </si>
  <si>
    <t>HOW TO SCORE</t>
  </si>
  <si>
    <t>1</t>
  </si>
  <si>
    <t>Open the Scoring sheet. Edit the nation names in row 5 (columns C–F).</t>
  </si>
  <si>
    <t>2</t>
  </si>
  <si>
    <t>Work through each criterion. Enter 1 if you have clear evidence the criterion is met, 0 if evidence shows it is not met, or leave blank if evidence is insufficient.</t>
  </si>
  <si>
    <t>3</t>
  </si>
  <si>
    <t>Grey rows auto-calculate the sub-factor score (ticks ÷ total criteria, 0.00–1.00). Coloured rows auto-calculate the category score (average of sub-factor scores).</t>
  </si>
  <si>
    <t>4</t>
  </si>
  <si>
    <t>The Results sheet updates instantly. Final score = weighted sum × 100.</t>
  </si>
  <si>
    <t>WEIGHTS</t>
  </si>
  <si>
    <t>Cat 1</t>
  </si>
  <si>
    <t>Cryptographic Agility &amp; Migration Readiness — 20%</t>
  </si>
  <si>
    <t>Cat 2</t>
  </si>
  <si>
    <t>Governance &amp; Coordination — 25%</t>
  </si>
  <si>
    <t>Cat 3</t>
  </si>
  <si>
    <t>Risk &amp; Technical Feasibility — 20%</t>
  </si>
  <si>
    <t>Cat 4</t>
  </si>
  <si>
    <t>Standardisation &amp; Compatibility — 15%</t>
  </si>
  <si>
    <t>Cat 5</t>
  </si>
  <si>
    <t>Technical — 20%</t>
  </si>
  <si>
    <t>ADDING NATIONS</t>
  </si>
  <si>
    <t>Note</t>
  </si>
  <si>
    <t>The sheet supports 4 nations (columns C–F). To add a 5th, insert a column to the right of F, copy formulas and conditional formatting from column F, and also update the Results sheet formulas accordingly.</t>
  </si>
  <si>
    <t>PQC Migration Evaluation Framework — Scoring Sheet</t>
  </si>
  <si>
    <t>1 = criteria met   |   0 = criteria not met   |   scores auto-calculate in red rows</t>
  </si>
  <si>
    <t>Sub-factor</t>
  </si>
  <si>
    <t>Criterion</t>
  </si>
  <si>
    <t>Nation 1</t>
  </si>
  <si>
    <t>Nation 2</t>
  </si>
  <si>
    <t>Nation 3</t>
  </si>
  <si>
    <t>Nation 4</t>
  </si>
  <si>
    <t>Nation names →</t>
  </si>
  <si>
    <t xml:space="preserve">  Category 1  ·  Cryptographic Agility &amp; Migration Readiness  (20%)  —  How adaptable are systems to cryptographic change?</t>
  </si>
  <si>
    <t xml:space="preserve">  1.1  Inventory &amp; Asset Awareness</t>
  </si>
  <si>
    <t xml:space="preserve">  ← 5 criteria</t>
  </si>
  <si>
    <t>National effort to identify and map cryptographic assets has been mandated</t>
  </si>
  <si>
    <t>Inventory scope extends to critical infrastructure</t>
  </si>
  <si>
    <t>Tooling in use or under development for asset discovery</t>
  </si>
  <si>
    <t>Inventory is maintained on an ongoing basis</t>
  </si>
  <si>
    <t>Governmental support for asset discovery through public funding, research programmes, or national initiatives</t>
  </si>
  <si>
    <t xml:space="preserve">  1.1 score</t>
  </si>
  <si>
    <t xml:space="preserve">  (sum ÷ 5)</t>
  </si>
  <si>
    <t xml:space="preserve">  1.2  Migration Agility</t>
  </si>
  <si>
    <t xml:space="preserve">  ← 2 criteria</t>
  </si>
  <si>
    <t>Modular cryptographic implementations that allow algorithm replacement exist</t>
  </si>
  <si>
    <t>Testing environments for PQC transition have been established</t>
  </si>
  <si>
    <t>Documented migration procedures exist for at least one critical sector</t>
  </si>
  <si>
    <t xml:space="preserve">  1.2 score</t>
  </si>
  <si>
    <t xml:space="preserve">  (sum ÷ 2)</t>
  </si>
  <si>
    <t xml:space="preserve">  1.3  Operational Integration</t>
  </si>
  <si>
    <t xml:space="preserve">  ← 3 criteria</t>
  </si>
  <si>
    <t>PQC readiness requirements are contained in standard development processes</t>
  </si>
  <si>
    <t>Security review processes include a cryptographic agility assessment step</t>
  </si>
  <si>
    <t>Vendor or supplier agreements reference cryptographic agility requirements</t>
  </si>
  <si>
    <t xml:space="preserve">  1.3 score</t>
  </si>
  <si>
    <t xml:space="preserve">  (sum ÷ 3)</t>
  </si>
  <si>
    <t xml:space="preserve">  1.4  Hybrid Migration Support</t>
  </si>
  <si>
    <t>Hybrid classical/PQC mechanisms are being developed or deployed</t>
  </si>
  <si>
    <t>National policy endorses hybrid approaches for transitioning</t>
  </si>
  <si>
    <t>PQC and QKD hybrid integration is being actively researched or piloted</t>
  </si>
  <si>
    <t xml:space="preserve">  1.4 score</t>
  </si>
  <si>
    <t xml:space="preserve">  1.5  Supply Chain &amp; Vendor Readiness</t>
  </si>
  <si>
    <t>Major domestic vendors have committed to or ship PQC-capable products</t>
  </si>
  <si>
    <t>Government procurement requirements include PQC readiness criteria</t>
  </si>
  <si>
    <t>PQC-capable products are commercially available from domestic suppliers</t>
  </si>
  <si>
    <t xml:space="preserve">  1.5 score</t>
  </si>
  <si>
    <t xml:space="preserve">  Category 1 Score  (weight 20%)</t>
  </si>
  <si>
    <t xml:space="preserve">  Category 2  ·  Governance &amp; Coordination  (25%)  —  How is the transition organised and managed?</t>
  </si>
  <si>
    <t xml:space="preserve">  2.1  National Strategy</t>
  </si>
  <si>
    <t>Formal PQC strategy or master plan document has been published</t>
  </si>
  <si>
    <t>Strategy includes a timeline and clear milestones</t>
  </si>
  <si>
    <t>Strategy is backed through governmental funding</t>
  </si>
  <si>
    <t xml:space="preserve">  2.1 score</t>
  </si>
  <si>
    <t xml:space="preserve">  2.2  Coordination</t>
  </si>
  <si>
    <t xml:space="preserve">  ← 4 criteria</t>
  </si>
  <si>
    <t>Dedicated national PQC working group exists</t>
  </si>
  <si>
    <t>A public-private coordination mechanism is formally established</t>
  </si>
  <si>
    <t>Critical infrastructure operators are formally included in national coordination</t>
  </si>
  <si>
    <t>Coordination extends to academic and research institutions</t>
  </si>
  <si>
    <t xml:space="preserve">  2.2 score</t>
  </si>
  <si>
    <t xml:space="preserve">  (sum ÷ 4)</t>
  </si>
  <si>
    <t xml:space="preserve">  2.3  Regulation</t>
  </si>
  <si>
    <t>Legal or regulatory framework mandates PQC adoption in at least one sector</t>
  </si>
  <si>
    <t>Compliance deadlines have been published</t>
  </si>
  <si>
    <t>Guidance documents have been published for regulated entities</t>
  </si>
  <si>
    <t xml:space="preserve">  2.3 score</t>
  </si>
  <si>
    <t xml:space="preserve">  2.4  Workforce</t>
  </si>
  <si>
    <t>Government-funded training for PQC is active</t>
  </si>
  <si>
    <t>National strategy contains a workforce or education component</t>
  </si>
  <si>
    <t>Active academic research programmes in PQC exist</t>
  </si>
  <si>
    <t xml:space="preserve">  2.4 score</t>
  </si>
  <si>
    <t xml:space="preserve">  2.5  International Cooperation</t>
  </si>
  <si>
    <t>Actively participates in international PQC standardisation (ETSI, ISO, IETF, etc.)</t>
  </si>
  <si>
    <t>Domestic standards designed for interoperability with international standards</t>
  </si>
  <si>
    <t>Contributes to international PQC processes</t>
  </si>
  <si>
    <t xml:space="preserve">  2.5 score</t>
  </si>
  <si>
    <t xml:space="preserve">  Category 2 Score  (weight 25%)</t>
  </si>
  <si>
    <t xml:space="preserve">  Category 3  ·  Risk &amp; Technical Feasibility  (20%)  —  Can the migration realistically and securely be implemented?</t>
  </si>
  <si>
    <t xml:space="preserve">  3.1  Quantum Weakness</t>
  </si>
  <si>
    <t>National initiatives exist to identify vulnerable cryptographic systems in critical sectors</t>
  </si>
  <si>
    <t>High-priority sectors have been prioritised for migration</t>
  </si>
  <si>
    <t>Data requiring HNDL protection has been classified</t>
  </si>
  <si>
    <t xml:space="preserve">  3.1 score</t>
  </si>
  <si>
    <t xml:space="preserve">  3.2  Expected Impact</t>
  </si>
  <si>
    <t>High-priority assets have individual or sectoral risk assessments</t>
  </si>
  <si>
    <t>Data is classified by sensitivity level and migration urgency</t>
  </si>
  <si>
    <t xml:space="preserve">  3.2 score</t>
  </si>
  <si>
    <t xml:space="preserve">  3.3  Migration Resourcing &amp; Planning Clarity</t>
  </si>
  <si>
    <t>Cost estimates for full PQC migration have been developed</t>
  </si>
  <si>
    <t>Public sector migration is funded through an identified budget or programme</t>
  </si>
  <si>
    <t xml:space="preserve">  3.3 score</t>
  </si>
  <si>
    <t xml:space="preserve">  3.4  Performance &amp; Hardware Readiness</t>
  </si>
  <si>
    <t>PQC performance has been benchmarked on existing hardware</t>
  </si>
  <si>
    <t>Lightweight PQC solutions for IoT are in development</t>
  </si>
  <si>
    <t xml:space="preserve">  3.4 score</t>
  </si>
  <si>
    <t xml:space="preserve">  Category 3 Score  (weight 20%)</t>
  </si>
  <si>
    <t xml:space="preserve">  Category 4  ·  Standardisation &amp; Compatibility  (15%)  —  How well does the migration align with standards and existing ecosystems?</t>
  </si>
  <si>
    <t xml:space="preserve">  4.1  Interoperability</t>
  </si>
  <si>
    <t>PQC standards are designed with international interoperability as a goal</t>
  </si>
  <si>
    <t>Interoperability testing has been conducted or is in progress</t>
  </si>
  <si>
    <t>Protocol-level integration has been addressed (TLS, DNSSEC, etc.)</t>
  </si>
  <si>
    <t xml:space="preserve">  4.1 score</t>
  </si>
  <si>
    <t xml:space="preserve">  4.2  Standards Alignment</t>
  </si>
  <si>
    <t>Nation has formally adopted or mapped to NIST PQC final standards</t>
  </si>
  <si>
    <t>Standards documents are publicly accessible</t>
  </si>
  <si>
    <t xml:space="preserve">  4.2 score</t>
  </si>
  <si>
    <t xml:space="preserve">  4.3  Certification &amp; Validation Infrastructure</t>
  </si>
  <si>
    <t>A recognised body capable of certifying PQC implementations exists</t>
  </si>
  <si>
    <t>At least one PQC implementation has achieved formal certification at the nation's stated assurance level</t>
  </si>
  <si>
    <t>Published verification requirements specify a minimum assurance level comparable to Common Criteria EAL4 or higher</t>
  </si>
  <si>
    <t xml:space="preserve">  4.3 score</t>
  </si>
  <si>
    <t xml:space="preserve">  Category 4 Score  (weight 15%)</t>
  </si>
  <si>
    <t xml:space="preserve">  Category 5  ·  Technical  (20%)  —  How well does the migration follow technical standards and become quantum-proof?</t>
  </si>
  <si>
    <t xml:space="preserve">  5.1  Algorithmic Coverage</t>
  </si>
  <si>
    <t>Algorithm selection covers all primary use cases (authentication, key exchange, signing)</t>
  </si>
  <si>
    <t>Algorithm selection reflects a documented technical rationale (security margin, performance trade-off, or domestic priority)</t>
  </si>
  <si>
    <t>A fallback or contingency algorithm is designated for each primary selection</t>
  </si>
  <si>
    <t xml:space="preserve">  5.1 score</t>
  </si>
  <si>
    <t xml:space="preserve">  5.2  Algorithmic Evaluation</t>
  </si>
  <si>
    <t>Security evaluation has been published for selected algorithms</t>
  </si>
  <si>
    <t>Published cryptanalysis exists addressing the algorithm's core mathematical
hardness assumption</t>
  </si>
  <si>
    <t>Performance benchmarking has been conducted</t>
  </si>
  <si>
    <t xml:space="preserve">  5.2 score</t>
  </si>
  <si>
    <t xml:space="preserve">  5.3  Protocol &amp; Infrastructure Integration</t>
  </si>
  <si>
    <t>PQC integration addressed for TLS/HTTPS</t>
  </si>
  <si>
    <t>PQC integration addressed for VPN/IPsec</t>
  </si>
  <si>
    <t>PKI migration addressed (certificate authorities, certificate issuance)</t>
  </si>
  <si>
    <t>PQC integration addressed for DNS security (DNSSEC) or equivalent</t>
  </si>
  <si>
    <t xml:space="preserve">  5.3 score</t>
  </si>
  <si>
    <t xml:space="preserve">  5.4  Library &amp; Developer Ecosystem</t>
  </si>
  <si>
    <t>Open-source or publicly available reference implementations exist for domestic standards</t>
  </si>
  <si>
    <t>PQC libraries are available for major development platforms (Java, Python, C/C++)</t>
  </si>
  <si>
    <t>Developer documentation or SDK support is publicly accessible</t>
  </si>
  <si>
    <t xml:space="preserve">  5.4 score</t>
  </si>
  <si>
    <t xml:space="preserve">  Category 5 Score  (weight 20%)</t>
  </si>
  <si>
    <t>PQC Evaluation Framework — Evidence &amp; Source Documentation</t>
  </si>
  <si>
    <t>Document the source or evidence for each criterion. Include document name, URL, and date accessed.</t>
  </si>
  <si>
    <t>South Korea  —  Evidence / Source</t>
  </si>
  <si>
    <t>Nation 2  —  Evidence / Source</t>
  </si>
  <si>
    <t>Nation 3  —  Evidence / Source</t>
  </si>
  <si>
    <t>Nation 4  —  Evidence / Source</t>
  </si>
  <si>
    <t xml:space="preserve">  Category 1  ·  Cryptographic Agility &amp; Migration Readiness</t>
  </si>
  <si>
    <t xml:space="preserve">  Category 2  ·  Governance &amp; Coordination</t>
  </si>
  <si>
    <t>Contributes algorithms, specifications, or expertise to international processes</t>
  </si>
  <si>
    <t xml:space="preserve">  Category 3  ·  Risk &amp; Technical Feasibility</t>
  </si>
  <si>
    <t xml:space="preserve">  Category 4  ·  Standardisation &amp; Compatibility</t>
  </si>
  <si>
    <t>Nation's selected algorithms were produced through a formal, transparent, and multi-round standardisation or competitive evaluation process (NIST, ISO, or domestic equivalent)</t>
  </si>
  <si>
    <t xml:space="preserve">  Category 5  ·  Technical</t>
  </si>
  <si>
    <t>PKI migration pathway defined (certificate authorities, certificate issuance)</t>
  </si>
  <si>
    <t>PQC integration addressed for DNS security (DNSSEC) or equivalent critical protocol</t>
  </si>
  <si>
    <t>PQC Evaluation Framework — Results Dashboard</t>
  </si>
  <si>
    <t>FINAL WEIGHTED SCORES  (0 – 100)</t>
  </si>
  <si>
    <t>Weight</t>
  </si>
  <si>
    <t>Cat 1: Cryptographic Agility &amp; Migration Readiness</t>
  </si>
  <si>
    <t>20%</t>
  </si>
  <si>
    <t>Cat 2: Governance &amp; Coordination</t>
  </si>
  <si>
    <t>25%</t>
  </si>
  <si>
    <t>Cat 3: Risk &amp; Technical Feasibility</t>
  </si>
  <si>
    <t>Cat 4: Standardisation &amp; Compatibility</t>
  </si>
  <si>
    <t>15%</t>
  </si>
  <si>
    <t>Cat 5: Technical</t>
  </si>
  <si>
    <t xml:space="preserve">  FINAL SCORE  (0 – 100)</t>
  </si>
  <si>
    <t>100%</t>
  </si>
  <si>
    <t>SUB-FACTOR BREAKDOWN  (0.00 – 1.00)</t>
  </si>
  <si>
    <t xml:space="preserve">  Cat 1: Cryptographic Agility &amp; Migration Readiness</t>
  </si>
  <si>
    <t xml:space="preserve">    1.1  Inventory &amp; Asset Awareness</t>
  </si>
  <si>
    <t xml:space="preserve">    1.2  Migration Agility</t>
  </si>
  <si>
    <t xml:space="preserve">    1.3  Operational Integration</t>
  </si>
  <si>
    <t xml:space="preserve">    1.4  Hybrid Migration Support</t>
  </si>
  <si>
    <t xml:space="preserve">    1.5  Supply Chain &amp; Vendor Readiness</t>
  </si>
  <si>
    <t xml:space="preserve">  Cat 2: Governance &amp; Coordination</t>
  </si>
  <si>
    <t xml:space="preserve">    2.1  National Strategy</t>
  </si>
  <si>
    <t xml:space="preserve">    2.2  Coordination</t>
  </si>
  <si>
    <t xml:space="preserve">    2.3  Regulation</t>
  </si>
  <si>
    <t xml:space="preserve">    2.4  Workforce</t>
  </si>
  <si>
    <t xml:space="preserve">    2.5  International Cooperation</t>
  </si>
  <si>
    <t xml:space="preserve">  Cat 3: Risk &amp; Technical Feasibility</t>
  </si>
  <si>
    <t xml:space="preserve">    3.1  Quantum Weakness</t>
  </si>
  <si>
    <t xml:space="preserve">    3.2  Expected Impact</t>
  </si>
  <si>
    <t xml:space="preserve">    3.3  Estimated Time / Effort / Costs</t>
  </si>
  <si>
    <t xml:space="preserve">    3.4  Performance &amp; Hardware Readiness</t>
  </si>
  <si>
    <t xml:space="preserve">  Cat 4: Standardisation &amp; Compatibility</t>
  </si>
  <si>
    <t xml:space="preserve">    4.1  Interoperability</t>
  </si>
  <si>
    <t xml:space="preserve">    4.2  Standards Alignment</t>
  </si>
  <si>
    <t xml:space="preserve">    4.3  Certification &amp; Validation Infrastructure</t>
  </si>
  <si>
    <t xml:space="preserve">  Cat 5: Technical</t>
  </si>
  <si>
    <t xml:space="preserve">    5.1  Algorithmic Coverage</t>
  </si>
  <si>
    <t xml:space="preserve">    5.2  Algorithmic Evaluation</t>
  </si>
  <si>
    <t xml:space="preserve">    5.3  Protocol &amp; Infrastructure Integration</t>
  </si>
  <si>
    <t xml:space="preserve">    5.4  Library &amp; Developer Ecosystem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</si>
</sst>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9.0"/>
      <color rgb="FF2E75B6"/>
      <name val="Arial"/>
    </font>
    <font>
      <sz val="9.0"/>
      <color rgb="FF000000"/>
      <name val="Arial"/>
    </font>
    <font>
      <b/>
      <sz val="13.0"/>
      <color rgb="FFFFFFFF"/>
      <name val="Arial"/>
    </font>
    <font>
      <i/>
      <sz val="9.0"/>
      <color rgb="FF595959"/>
      <name val="Arial"/>
    </font>
    <font>
      <i/>
      <sz val="8.0"/>
      <color rgb="FF999999"/>
      <name val="Arial"/>
    </font>
    <font>
      <i/>
      <sz val="8.0"/>
      <color rgb="FFBBBBBB"/>
      <name val="Arial"/>
    </font>
    <font>
      <b/>
      <sz val="10.0"/>
      <color rgb="FF7B4F00"/>
      <name val="Arial"/>
    </font>
    <font>
      <b/>
      <sz val="9.0"/>
      <color rgb="FF1A1A1A"/>
      <name val="Arial"/>
    </font>
    <font>
      <i/>
      <sz val="8.0"/>
      <color rgb="FF444444"/>
      <name val="Arial"/>
    </font>
    <font>
      <i/>
      <sz val="8.0"/>
      <color rgb="FF555555"/>
      <name val="Arial"/>
    </font>
    <font>
      <i/>
      <sz val="8.0"/>
      <color rgb="FFAAAAAA"/>
      <name val="Arial"/>
    </font>
    <font>
      <b/>
      <sz val="11.0"/>
      <color rgb="FFFFFFFF"/>
      <name val="Arial"/>
    </font>
    <font>
      <i/>
      <sz val="8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theme="1"/>
      <name val="Arial"/>
    </font>
    <font>
      <sz val="10.0"/>
      <color rgb="FF1F1F1F"/>
      <name val="Arial"/>
    </font>
    <font>
      <u/>
      <sz val="10.0"/>
      <color rgb="FF000000"/>
      <name val="Arial"/>
    </font>
    <font>
      <b/>
      <sz val="9.0"/>
      <color rgb="FFFFFFFF"/>
      <name val="Arial"/>
    </font>
    <font>
      <sz val="9.0"/>
      <color rgb="FF333333"/>
      <name val="Arial"/>
    </font>
    <font>
      <sz val="9.0"/>
      <color rgb="FF1F4E79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EF4FB"/>
        <bgColor rgb="FFEEF4FB"/>
      </patternFill>
    </fill>
    <fill>
      <patternFill patternType="solid">
        <fgColor rgb="FFFFF9C4"/>
        <bgColor rgb="FFFFF9C4"/>
      </patternFill>
    </fill>
    <fill>
      <patternFill patternType="solid">
        <fgColor rgb="FFB8D0E8"/>
        <bgColor rgb="FFB8D0E8"/>
      </patternFill>
    </fill>
    <fill>
      <patternFill patternType="solid">
        <fgColor rgb="FFD9E8F5"/>
        <bgColor rgb="FFD9E8F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375623"/>
        <bgColor rgb="FF375623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CCA3E8"/>
        <bgColor rgb="FFCCA3E8"/>
      </patternFill>
    </fill>
    <fill>
      <patternFill patternType="solid">
        <fgColor rgb="FFEAD1FF"/>
        <bgColor rgb="FFEAD1FF"/>
      </patternFill>
    </fill>
    <fill>
      <patternFill patternType="solid">
        <fgColor rgb="FF006B5D"/>
        <bgColor rgb="FF006B5D"/>
      </patternFill>
    </fill>
    <fill>
      <patternFill patternType="solid">
        <fgColor rgb="FF80CBC4"/>
        <bgColor rgb="FF80CBC4"/>
      </patternFill>
    </fill>
    <fill>
      <patternFill patternType="solid">
        <fgColor rgb="FFD4F1EB"/>
        <bgColor rgb="FFD4F1EB"/>
      </patternFill>
    </fill>
    <fill>
      <patternFill patternType="solid">
        <fgColor rgb="FFFFC7CE"/>
        <bgColor rgb="FFFFC7CE"/>
      </patternFill>
    </fill>
  </fills>
  <borders count="1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</border>
    <border>
      <left style="thin">
        <color rgb="FF006B5D"/>
      </left>
      <right style="thin">
        <color rgb="FF006B5D"/>
      </right>
      <top style="thin">
        <color rgb="FF006B5D"/>
      </top>
      <bottom style="thin">
        <color rgb="FF006B5D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3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1" fillId="4" fontId="8" numFmtId="0" xfId="0" applyAlignment="1" applyBorder="1" applyFill="1" applyFont="1">
      <alignment horizontal="center" readingOrder="0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6" fillId="5" fontId="11" numFmtId="0" xfId="0" applyAlignment="1" applyBorder="1" applyFill="1" applyFont="1">
      <alignment horizontal="center" readingOrder="0" shrinkToFit="0" vertical="center" wrapText="0"/>
    </xf>
    <xf borderId="6" fillId="5" fontId="11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3" fillId="6" fontId="12" numFmtId="0" xfId="0" applyAlignment="1" applyBorder="1" applyFill="1" applyFont="1">
      <alignment horizontal="left" shrinkToFit="0" vertical="center" wrapText="0"/>
    </xf>
    <xf borderId="3" fillId="6" fontId="13" numFmtId="0" xfId="0" applyAlignment="1" applyBorder="1" applyFont="1">
      <alignment horizontal="left" readingOrder="0" shrinkToFit="0" vertical="center" wrapText="0"/>
    </xf>
    <xf borderId="3" fillId="6" fontId="4" numFmtId="0" xfId="0" applyAlignment="1" applyBorder="1" applyFont="1">
      <alignment horizontal="left" shrinkToFit="0" vertical="center" wrapText="0"/>
    </xf>
    <xf borderId="7" fillId="7" fontId="4" numFmtId="0" xfId="0" applyAlignment="1" applyBorder="1" applyFill="1" applyFont="1">
      <alignment horizontal="left" shrinkToFit="0" vertical="center" wrapText="0"/>
    </xf>
    <xf borderId="7" fillId="7" fontId="6" numFmtId="0" xfId="0" applyAlignment="1" applyBorder="1" applyFont="1">
      <alignment horizontal="left" shrinkToFit="0" vertical="center" wrapText="1"/>
    </xf>
    <xf borderId="7" fillId="8" fontId="4" numFmtId="0" xfId="0" applyAlignment="1" applyBorder="1" applyFill="1" applyFont="1">
      <alignment horizontal="center" readingOrder="0" shrinkToFit="0" vertical="center" wrapText="0"/>
    </xf>
    <xf borderId="7" fillId="8" fontId="4" numFmtId="0" xfId="0" applyAlignment="1" applyBorder="1" applyFont="1">
      <alignment horizontal="center" shrinkToFit="0" vertical="center" wrapText="0"/>
    </xf>
    <xf borderId="8" fillId="8" fontId="4" numFmtId="0" xfId="0" applyAlignment="1" applyBorder="1" applyFont="1">
      <alignment horizontal="center" readingOrder="0" shrinkToFit="0" vertical="center" wrapText="0"/>
    </xf>
    <xf borderId="0" fillId="7" fontId="14" numFmtId="0" xfId="0" applyAlignment="1" applyFont="1">
      <alignment horizontal="left" shrinkToFit="0" vertical="center" wrapText="0"/>
    </xf>
    <xf borderId="0" fillId="7" fontId="6" numFmtId="0" xfId="0" applyAlignment="1" applyFont="1">
      <alignment readingOrder="0" shrinkToFit="0" wrapText="1"/>
    </xf>
    <xf borderId="0" fillId="8" fontId="5" numFmtId="2" xfId="0" applyAlignment="1" applyFont="1" applyNumberFormat="1">
      <alignment horizontal="center" readingOrder="0" shrinkToFit="0" vertical="center" wrapText="0"/>
    </xf>
    <xf borderId="0" fillId="8" fontId="5" numFmtId="2" xfId="0" applyAlignment="1" applyFont="1" applyNumberFormat="1">
      <alignment horizontal="center" shrinkToFit="0" vertical="center" wrapText="0"/>
    </xf>
    <xf borderId="3" fillId="9" fontId="14" numFmtId="0" xfId="0" applyAlignment="1" applyBorder="1" applyFill="1" applyFont="1">
      <alignment horizontal="left" shrinkToFit="0" vertical="center" wrapText="0"/>
    </xf>
    <xf borderId="3" fillId="9" fontId="15" numFmtId="0" xfId="0" applyAlignment="1" applyBorder="1" applyFont="1">
      <alignment horizontal="left" readingOrder="0" shrinkToFit="0" vertical="center" wrapText="0"/>
    </xf>
    <xf borderId="9" fillId="9" fontId="5" numFmtId="2" xfId="0" applyAlignment="1" applyBorder="1" applyFont="1" applyNumberFormat="1">
      <alignment horizontal="center" shrinkToFit="0" vertical="center" wrapText="0"/>
    </xf>
    <xf borderId="7" fillId="7" fontId="6" numFmtId="0" xfId="0" applyAlignment="1" applyBorder="1" applyFont="1">
      <alignment horizontal="left" shrinkToFit="0" vertical="top" wrapText="1"/>
    </xf>
    <xf borderId="0" fillId="9" fontId="5" numFmtId="2" xfId="0" applyAlignment="1" applyFont="1" applyNumberFormat="1">
      <alignment horizontal="center" shrinkToFit="0" vertical="center" wrapText="0"/>
    </xf>
    <xf borderId="3" fillId="6" fontId="13" numFmtId="0" xfId="0" applyAlignment="1" applyBorder="1" applyFont="1">
      <alignment horizontal="left" shrinkToFit="0" vertical="center" wrapText="0"/>
    </xf>
    <xf borderId="3" fillId="9" fontId="15" numFmtId="0" xfId="0" applyAlignment="1" applyBorder="1" applyFont="1">
      <alignment horizontal="left" shrinkToFit="0" vertical="center" wrapText="0"/>
    </xf>
    <xf borderId="10" fillId="3" fontId="16" numFmtId="2" xfId="0" applyAlignment="1" applyBorder="1" applyFont="1" applyNumberFormat="1">
      <alignment horizontal="center" shrinkToFit="0" vertical="center" wrapText="0"/>
    </xf>
    <xf borderId="1" fillId="10" fontId="3" numFmtId="0" xfId="0" applyAlignment="1" applyBorder="1" applyFill="1" applyFont="1">
      <alignment horizontal="left" shrinkToFit="0" vertical="center" wrapText="0"/>
    </xf>
    <xf borderId="3" fillId="11" fontId="12" numFmtId="0" xfId="0" applyAlignment="1" applyBorder="1" applyFill="1" applyFont="1">
      <alignment horizontal="left" shrinkToFit="0" vertical="center" wrapText="0"/>
    </xf>
    <xf borderId="3" fillId="11" fontId="13" numFmtId="0" xfId="0" applyAlignment="1" applyBorder="1" applyFont="1">
      <alignment horizontal="left" readingOrder="0" shrinkToFit="0" vertical="center" wrapText="0"/>
    </xf>
    <xf borderId="3" fillId="11" fontId="4" numFmtId="0" xfId="0" applyAlignment="1" applyBorder="1" applyFont="1">
      <alignment horizontal="left" shrinkToFit="0" vertical="center" wrapText="0"/>
    </xf>
    <xf borderId="7" fillId="12" fontId="4" numFmtId="0" xfId="0" applyAlignment="1" applyBorder="1" applyFill="1" applyFont="1">
      <alignment horizontal="left" shrinkToFit="0" vertical="center" wrapText="0"/>
    </xf>
    <xf borderId="7" fillId="12" fontId="6" numFmtId="0" xfId="0" applyAlignment="1" applyBorder="1" applyFont="1">
      <alignment horizontal="left" shrinkToFit="0" vertical="center" wrapText="1"/>
    </xf>
    <xf borderId="3" fillId="11" fontId="13" numFmtId="0" xfId="0" applyAlignment="1" applyBorder="1" applyFont="1">
      <alignment horizontal="left" shrinkToFit="0" vertical="center" wrapText="0"/>
    </xf>
    <xf borderId="7" fillId="12" fontId="6" numFmtId="0" xfId="0" applyAlignment="1" applyBorder="1" applyFont="1">
      <alignment horizontal="left" readingOrder="0" shrinkToFit="0" vertical="center" wrapText="1"/>
    </xf>
    <xf borderId="11" fillId="10" fontId="16" numFmtId="2" xfId="0" applyAlignment="1" applyBorder="1" applyFont="1" applyNumberFormat="1">
      <alignment horizontal="center" shrinkToFit="0" vertical="center" wrapText="0"/>
    </xf>
    <xf borderId="1" fillId="13" fontId="3" numFmtId="0" xfId="0" applyAlignment="1" applyBorder="1" applyFill="1" applyFont="1">
      <alignment horizontal="left" shrinkToFit="0" vertical="center" wrapText="0"/>
    </xf>
    <xf borderId="3" fillId="14" fontId="12" numFmtId="0" xfId="0" applyAlignment="1" applyBorder="1" applyFill="1" applyFont="1">
      <alignment horizontal="left" shrinkToFit="0" vertical="center" wrapText="0"/>
    </xf>
    <xf borderId="3" fillId="14" fontId="13" numFmtId="0" xfId="0" applyAlignment="1" applyBorder="1" applyFont="1">
      <alignment horizontal="left" readingOrder="0" shrinkToFit="0" vertical="center" wrapText="0"/>
    </xf>
    <xf borderId="3" fillId="14" fontId="4" numFmtId="0" xfId="0" applyAlignment="1" applyBorder="1" applyFont="1">
      <alignment horizontal="left" shrinkToFit="0" vertical="center" wrapText="0"/>
    </xf>
    <xf borderId="7" fillId="15" fontId="4" numFmtId="0" xfId="0" applyAlignment="1" applyBorder="1" applyFill="1" applyFont="1">
      <alignment horizontal="left" shrinkToFit="0" vertical="center" wrapText="0"/>
    </xf>
    <xf borderId="7" fillId="15" fontId="6" numFmtId="0" xfId="0" applyAlignment="1" applyBorder="1" applyFont="1">
      <alignment horizontal="left" readingOrder="0" shrinkToFit="0" vertical="center" wrapText="1"/>
    </xf>
    <xf borderId="7" fillId="15" fontId="6" numFmtId="0" xfId="0" applyAlignment="1" applyBorder="1" applyFont="1">
      <alignment horizontal="left" shrinkToFit="0" vertical="center" wrapText="1"/>
    </xf>
    <xf borderId="3" fillId="14" fontId="12" numFmtId="0" xfId="0" applyAlignment="1" applyBorder="1" applyFont="1">
      <alignment horizontal="left" readingOrder="0" shrinkToFit="0" vertical="center" wrapText="0"/>
    </xf>
    <xf borderId="12" fillId="13" fontId="16" numFmtId="2" xfId="0" applyAlignment="1" applyBorder="1" applyFont="1" applyNumberFormat="1">
      <alignment horizontal="center" shrinkToFit="0" vertical="center" wrapText="0"/>
    </xf>
    <xf borderId="1" fillId="16" fontId="3" numFmtId="0" xfId="0" applyAlignment="1" applyBorder="1" applyFill="1" applyFont="1">
      <alignment horizontal="left" shrinkToFit="0" vertical="center" wrapText="0"/>
    </xf>
    <xf borderId="3" fillId="17" fontId="12" numFmtId="0" xfId="0" applyAlignment="1" applyBorder="1" applyFill="1" applyFont="1">
      <alignment horizontal="left" shrinkToFit="0" vertical="center" wrapText="0"/>
    </xf>
    <xf borderId="3" fillId="17" fontId="13" numFmtId="0" xfId="0" applyAlignment="1" applyBorder="1" applyFont="1">
      <alignment horizontal="left" readingOrder="0" shrinkToFit="0" vertical="center" wrapText="0"/>
    </xf>
    <xf borderId="3" fillId="17" fontId="4" numFmtId="0" xfId="0" applyAlignment="1" applyBorder="1" applyFont="1">
      <alignment horizontal="left" shrinkToFit="0" vertical="center" wrapText="0"/>
    </xf>
    <xf borderId="7" fillId="18" fontId="4" numFmtId="0" xfId="0" applyAlignment="1" applyBorder="1" applyFill="1" applyFont="1">
      <alignment horizontal="left" shrinkToFit="0" vertical="center" wrapText="0"/>
    </xf>
    <xf borderId="7" fillId="18" fontId="6" numFmtId="0" xfId="0" applyAlignment="1" applyBorder="1" applyFont="1">
      <alignment horizontal="left" shrinkToFit="0" vertical="center" wrapText="1"/>
    </xf>
    <xf borderId="7" fillId="18" fontId="6" numFmtId="0" xfId="0" applyAlignment="1" applyBorder="1" applyFont="1">
      <alignment horizontal="left" readingOrder="0" shrinkToFit="0" vertical="center" wrapText="1"/>
    </xf>
    <xf borderId="13" fillId="16" fontId="16" numFmtId="2" xfId="0" applyAlignment="1" applyBorder="1" applyFont="1" applyNumberFormat="1">
      <alignment horizontal="center" shrinkToFit="0" vertical="center" wrapText="0"/>
    </xf>
    <xf borderId="1" fillId="19" fontId="3" numFmtId="0" xfId="0" applyAlignment="1" applyBorder="1" applyFill="1" applyFont="1">
      <alignment horizontal="left" shrinkToFit="0" vertical="center" wrapText="0"/>
    </xf>
    <xf borderId="3" fillId="20" fontId="12" numFmtId="0" xfId="0" applyAlignment="1" applyBorder="1" applyFill="1" applyFont="1">
      <alignment horizontal="left" shrinkToFit="0" vertical="center" wrapText="0"/>
    </xf>
    <xf borderId="3" fillId="20" fontId="13" numFmtId="0" xfId="0" applyAlignment="1" applyBorder="1" applyFont="1">
      <alignment horizontal="left" readingOrder="0" shrinkToFit="0" vertical="center" wrapText="0"/>
    </xf>
    <xf borderId="3" fillId="20" fontId="4" numFmtId="0" xfId="0" applyAlignment="1" applyBorder="1" applyFont="1">
      <alignment horizontal="left" shrinkToFit="0" vertical="center" wrapText="0"/>
    </xf>
    <xf borderId="7" fillId="21" fontId="4" numFmtId="0" xfId="0" applyAlignment="1" applyBorder="1" applyFill="1" applyFont="1">
      <alignment horizontal="left" shrinkToFit="0" vertical="center" wrapText="0"/>
    </xf>
    <xf borderId="7" fillId="21" fontId="6" numFmtId="0" xfId="0" applyAlignment="1" applyBorder="1" applyFont="1">
      <alignment horizontal="left" shrinkToFit="0" vertical="center" wrapText="1"/>
    </xf>
    <xf borderId="7" fillId="21" fontId="6" numFmtId="0" xfId="0" applyAlignment="1" applyBorder="1" applyFont="1">
      <alignment horizontal="left" readingOrder="0" shrinkToFit="0" vertical="center" wrapText="1"/>
    </xf>
    <xf borderId="3" fillId="20" fontId="13" numFmtId="0" xfId="0" applyAlignment="1" applyBorder="1" applyFont="1">
      <alignment horizontal="left" shrinkToFit="0" vertical="center" wrapText="0"/>
    </xf>
    <xf borderId="0" fillId="9" fontId="17" numFmtId="0" xfId="0" applyAlignment="1" applyFont="1">
      <alignment horizontal="left" readingOrder="0" shrinkToFit="0" vertical="center" wrapText="0"/>
    </xf>
    <xf borderId="14" fillId="22" fontId="16" numFmtId="2" xfId="0" applyAlignment="1" applyBorder="1" applyFill="1" applyFont="1" applyNumberFormat="1">
      <alignment horizontal="center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3" fillId="6" fontId="18" numFmtId="0" xfId="0" applyAlignment="1" applyBorder="1" applyFont="1">
      <alignment shrinkToFit="0" vertical="bottom" wrapText="0"/>
    </xf>
    <xf borderId="7" fillId="8" fontId="4" numFmtId="0" xfId="0" applyAlignment="1" applyBorder="1" applyFont="1">
      <alignment horizontal="left" readingOrder="0" shrinkToFit="0" vertical="top" wrapText="1"/>
    </xf>
    <xf borderId="7" fillId="8" fontId="4" numFmtId="0" xfId="0" applyAlignment="1" applyBorder="1" applyFont="1">
      <alignment horizontal="left" shrinkToFit="0" vertical="top" wrapText="1"/>
    </xf>
    <xf borderId="7" fillId="8" fontId="19" numFmtId="0" xfId="0" applyAlignment="1" applyBorder="1" applyFont="1">
      <alignment horizontal="left" readingOrder="0" shrinkToFit="0" vertical="top" wrapText="1"/>
    </xf>
    <xf borderId="7" fillId="8" fontId="4" numFmtId="0" xfId="0" applyAlignment="1" applyBorder="1" applyFont="1">
      <alignment horizontal="left" readingOrder="0" shrinkToFit="0" vertical="top" wrapText="1"/>
    </xf>
    <xf borderId="0" fillId="7" fontId="12" numFmtId="0" xfId="0" applyAlignment="1" applyFont="1">
      <alignment horizontal="left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0"/>
    </xf>
    <xf borderId="7" fillId="8" fontId="4" numFmtId="0" xfId="0" applyAlignment="1" applyBorder="1" applyFont="1">
      <alignment horizontal="left" readingOrder="0" shrinkToFit="0" vertical="top" wrapText="1"/>
    </xf>
    <xf borderId="7" fillId="8" fontId="21" numFmtId="0" xfId="0" applyAlignment="1" applyBorder="1" applyFont="1">
      <alignment horizontal="left" readingOrder="0" shrinkToFit="0" vertical="top" wrapText="1"/>
    </xf>
    <xf borderId="7" fillId="0" fontId="4" numFmtId="0" xfId="0" applyAlignment="1" applyBorder="1" applyFont="1">
      <alignment horizontal="left" readingOrder="0" shrinkToFit="0" vertical="top" wrapText="1"/>
    </xf>
    <xf borderId="3" fillId="11" fontId="18" numFmtId="0" xfId="0" applyAlignment="1" applyBorder="1" applyFont="1">
      <alignment shrinkToFit="0" vertical="bottom" wrapText="0"/>
    </xf>
    <xf borderId="7" fillId="12" fontId="6" numFmtId="0" xfId="0" applyAlignment="1" applyBorder="1" applyFont="1">
      <alignment horizontal="left" shrinkToFit="0" vertical="top" wrapText="1"/>
    </xf>
    <xf borderId="7" fillId="8" fontId="22" numFmtId="0" xfId="0" applyAlignment="1" applyBorder="1" applyFont="1">
      <alignment horizontal="left" readingOrder="0" shrinkToFit="0" vertical="top" wrapText="1"/>
    </xf>
    <xf borderId="7" fillId="8" fontId="23" numFmtId="0" xfId="0" applyAlignment="1" applyBorder="1" applyFont="1">
      <alignment horizontal="left" readingOrder="0" shrinkToFit="0" vertical="top" wrapText="1"/>
    </xf>
    <xf borderId="3" fillId="14" fontId="18" numFmtId="0" xfId="0" applyAlignment="1" applyBorder="1" applyFont="1">
      <alignment shrinkToFit="0" vertical="bottom" wrapText="0"/>
    </xf>
    <xf borderId="7" fillId="15" fontId="6" numFmtId="0" xfId="0" applyAlignment="1" applyBorder="1" applyFont="1">
      <alignment horizontal="left" readingOrder="0" shrinkToFit="0" vertical="top" wrapText="1"/>
    </xf>
    <xf borderId="7" fillId="15" fontId="6" numFmtId="0" xfId="0" applyAlignment="1" applyBorder="1" applyFont="1">
      <alignment horizontal="left" shrinkToFit="0" vertical="top" wrapText="1"/>
    </xf>
    <xf borderId="3" fillId="17" fontId="18" numFmtId="0" xfId="0" applyAlignment="1" applyBorder="1" applyFont="1">
      <alignment shrinkToFit="0" vertical="bottom" wrapText="0"/>
    </xf>
    <xf borderId="7" fillId="18" fontId="6" numFmtId="0" xfId="0" applyAlignment="1" applyBorder="1" applyFont="1">
      <alignment horizontal="left" shrinkToFit="0" vertical="top" wrapText="1"/>
    </xf>
    <xf borderId="3" fillId="17" fontId="4" numFmtId="0" xfId="0" applyAlignment="1" applyBorder="1" applyFont="1">
      <alignment horizontal="left" readingOrder="0" shrinkToFit="0" vertical="center" wrapText="0"/>
    </xf>
    <xf borderId="7" fillId="18" fontId="6" numFmtId="0" xfId="0" applyAlignment="1" applyBorder="1" applyFont="1">
      <alignment horizontal="left" readingOrder="0" shrinkToFit="0" vertical="top" wrapText="1"/>
    </xf>
    <xf borderId="3" fillId="20" fontId="18" numFmtId="0" xfId="0" applyAlignment="1" applyBorder="1" applyFont="1">
      <alignment shrinkToFit="0" vertical="bottom" wrapText="0"/>
    </xf>
    <xf borderId="7" fillId="21" fontId="6" numFmtId="0" xfId="0" applyAlignment="1" applyBorder="1" applyFont="1">
      <alignment horizontal="left" shrinkToFit="0" vertical="top" wrapText="1"/>
    </xf>
    <xf borderId="7" fillId="21" fontId="6" numFmtId="0" xfId="0" applyAlignment="1" applyBorder="1" applyFont="1">
      <alignment horizontal="left" readingOrder="0" shrinkToFit="0" vertical="top" wrapText="1"/>
    </xf>
    <xf borderId="7" fillId="0" fontId="4" numFmtId="0" xfId="0" applyAlignment="1" applyBorder="1" applyFont="1">
      <alignment horizontal="left" readingOrder="0" shrinkToFit="0" vertical="top" wrapText="1"/>
    </xf>
    <xf borderId="3" fillId="20" fontId="4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left" shrinkToFit="0" vertical="center" wrapText="0"/>
    </xf>
    <xf borderId="3" fillId="0" fontId="18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1" fillId="2" fontId="16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left" shrinkToFit="0" vertical="center" wrapText="0"/>
    </xf>
    <xf borderId="10" fillId="3" fontId="3" numFmtId="0" xfId="0" applyAlignment="1" applyBorder="1" applyFont="1">
      <alignment horizontal="center" shrinkToFit="0" vertical="center" wrapText="0"/>
    </xf>
    <xf borderId="3" fillId="3" fontId="24" numFmtId="0" xfId="0" applyAlignment="1" applyBorder="1" applyFont="1">
      <alignment horizontal="center" shrinkToFit="0" vertical="center" wrapText="0"/>
    </xf>
    <xf borderId="10" fillId="3" fontId="24" numFmtId="0" xfId="0" applyAlignment="1" applyBorder="1" applyFont="1">
      <alignment horizontal="left" shrinkToFit="0" vertical="center" wrapText="0"/>
    </xf>
    <xf borderId="11" fillId="10" fontId="24" numFmtId="0" xfId="0" applyAlignment="1" applyBorder="1" applyFont="1">
      <alignment horizontal="left" shrinkToFit="0" vertical="center" wrapText="0"/>
    </xf>
    <xf borderId="3" fillId="10" fontId="24" numFmtId="0" xfId="0" applyAlignment="1" applyBorder="1" applyFont="1">
      <alignment horizontal="center" shrinkToFit="0" vertical="center" wrapText="0"/>
    </xf>
    <xf borderId="12" fillId="13" fontId="24" numFmtId="0" xfId="0" applyAlignment="1" applyBorder="1" applyFont="1">
      <alignment horizontal="left" shrinkToFit="0" vertical="center" wrapText="0"/>
    </xf>
    <xf borderId="3" fillId="13" fontId="24" numFmtId="0" xfId="0" applyAlignment="1" applyBorder="1" applyFont="1">
      <alignment horizontal="center" shrinkToFit="0" vertical="center" wrapText="0"/>
    </xf>
    <xf borderId="13" fillId="16" fontId="24" numFmtId="0" xfId="0" applyAlignment="1" applyBorder="1" applyFont="1">
      <alignment horizontal="left" shrinkToFit="0" vertical="center" wrapText="0"/>
    </xf>
    <xf borderId="3" fillId="16" fontId="24" numFmtId="0" xfId="0" applyAlignment="1" applyBorder="1" applyFont="1">
      <alignment horizontal="center" shrinkToFit="0" vertical="center" wrapText="0"/>
    </xf>
    <xf borderId="14" fillId="19" fontId="24" numFmtId="0" xfId="0" applyAlignment="1" applyBorder="1" applyFont="1">
      <alignment horizontal="left" shrinkToFit="0" vertical="center" wrapText="0"/>
    </xf>
    <xf borderId="14" fillId="19" fontId="16" numFmtId="2" xfId="0" applyAlignment="1" applyBorder="1" applyFont="1" applyNumberFormat="1">
      <alignment horizontal="center" shrinkToFit="0" vertical="center" wrapText="0"/>
    </xf>
    <xf borderId="3" fillId="19" fontId="24" numFmtId="0" xfId="0" applyAlignment="1" applyBorder="1" applyFont="1">
      <alignment horizontal="center" shrinkToFit="0" vertical="center" wrapText="0"/>
    </xf>
    <xf borderId="3" fillId="2" fontId="16" numFmtId="0" xfId="0" applyAlignment="1" applyBorder="1" applyFont="1">
      <alignment horizontal="left" shrinkToFit="0" vertical="center" wrapText="0"/>
    </xf>
    <xf borderId="5" fillId="2" fontId="7" numFmtId="164" xfId="0" applyAlignment="1" applyBorder="1" applyFont="1" applyNumberFormat="1">
      <alignment horizontal="center" shrinkToFit="0" vertical="center" wrapText="0"/>
    </xf>
    <xf borderId="3" fillId="2" fontId="24" numFmtId="0" xfId="0" applyAlignment="1" applyBorder="1" applyFont="1">
      <alignment horizontal="center" shrinkToFit="0" vertical="center" wrapText="0"/>
    </xf>
    <xf borderId="3" fillId="3" fontId="24" numFmtId="0" xfId="0" applyAlignment="1" applyBorder="1" applyFont="1">
      <alignment horizontal="left" shrinkToFit="0" vertical="center" wrapText="0"/>
    </xf>
    <xf borderId="3" fillId="3" fontId="18" numFmtId="0" xfId="0" applyAlignment="1" applyBorder="1" applyFont="1">
      <alignment shrinkToFit="0" vertical="bottom" wrapText="0"/>
    </xf>
    <xf borderId="7" fillId="7" fontId="25" numFmtId="0" xfId="0" applyAlignment="1" applyBorder="1" applyFont="1">
      <alignment horizontal="left" shrinkToFit="0" vertical="center" wrapText="0"/>
    </xf>
    <xf borderId="7" fillId="7" fontId="26" numFmtId="2" xfId="0" applyAlignment="1" applyBorder="1" applyFont="1" applyNumberFormat="1">
      <alignment horizontal="center" shrinkToFit="0" vertical="center" wrapText="0"/>
    </xf>
    <xf borderId="3" fillId="10" fontId="24" numFmtId="0" xfId="0" applyAlignment="1" applyBorder="1" applyFont="1">
      <alignment horizontal="left" shrinkToFit="0" vertical="center" wrapText="0"/>
    </xf>
    <xf borderId="3" fillId="10" fontId="18" numFmtId="0" xfId="0" applyAlignment="1" applyBorder="1" applyFont="1">
      <alignment shrinkToFit="0" vertical="bottom" wrapText="0"/>
    </xf>
    <xf borderId="7" fillId="12" fontId="25" numFmtId="0" xfId="0" applyAlignment="1" applyBorder="1" applyFont="1">
      <alignment horizontal="left" shrinkToFit="0" vertical="center" wrapText="0"/>
    </xf>
    <xf borderId="7" fillId="12" fontId="26" numFmtId="2" xfId="0" applyAlignment="1" applyBorder="1" applyFont="1" applyNumberFormat="1">
      <alignment horizontal="center" shrinkToFit="0" vertical="center" wrapText="0"/>
    </xf>
    <xf borderId="3" fillId="13" fontId="24" numFmtId="0" xfId="0" applyAlignment="1" applyBorder="1" applyFont="1">
      <alignment horizontal="left" shrinkToFit="0" vertical="center" wrapText="0"/>
    </xf>
    <xf borderId="3" fillId="13" fontId="18" numFmtId="0" xfId="0" applyAlignment="1" applyBorder="1" applyFont="1">
      <alignment shrinkToFit="0" vertical="bottom" wrapText="0"/>
    </xf>
    <xf borderId="7" fillId="15" fontId="25" numFmtId="0" xfId="0" applyAlignment="1" applyBorder="1" applyFont="1">
      <alignment horizontal="left" shrinkToFit="0" vertical="center" wrapText="0"/>
    </xf>
    <xf borderId="7" fillId="15" fontId="26" numFmtId="2" xfId="0" applyAlignment="1" applyBorder="1" applyFont="1" applyNumberFormat="1">
      <alignment horizontal="center" shrinkToFit="0" vertical="center" wrapText="0"/>
    </xf>
    <xf borderId="3" fillId="16" fontId="24" numFmtId="0" xfId="0" applyAlignment="1" applyBorder="1" applyFont="1">
      <alignment horizontal="left" shrinkToFit="0" vertical="center" wrapText="0"/>
    </xf>
    <xf borderId="3" fillId="16" fontId="18" numFmtId="0" xfId="0" applyAlignment="1" applyBorder="1" applyFont="1">
      <alignment shrinkToFit="0" vertical="bottom" wrapText="0"/>
    </xf>
    <xf borderId="7" fillId="18" fontId="25" numFmtId="0" xfId="0" applyAlignment="1" applyBorder="1" applyFont="1">
      <alignment horizontal="left" shrinkToFit="0" vertical="center" wrapText="0"/>
    </xf>
    <xf borderId="7" fillId="18" fontId="26" numFmtId="2" xfId="0" applyAlignment="1" applyBorder="1" applyFont="1" applyNumberFormat="1">
      <alignment horizontal="center" shrinkToFit="0" vertical="center" wrapText="0"/>
    </xf>
    <xf borderId="3" fillId="19" fontId="24" numFmtId="0" xfId="0" applyAlignment="1" applyBorder="1" applyFont="1">
      <alignment horizontal="left" shrinkToFit="0" vertical="center" wrapText="0"/>
    </xf>
    <xf borderId="3" fillId="19" fontId="18" numFmtId="0" xfId="0" applyAlignment="1" applyBorder="1" applyFont="1">
      <alignment shrinkToFit="0" vertical="bottom" wrapText="0"/>
    </xf>
    <xf borderId="7" fillId="21" fontId="25" numFmtId="0" xfId="0" applyAlignment="1" applyBorder="1" applyFont="1">
      <alignment horizontal="left" shrinkToFit="0" vertical="center" wrapText="0"/>
    </xf>
    <xf borderId="7" fillId="21" fontId="26" numFmtId="2" xfId="0" applyAlignment="1" applyBorder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75.0"/>
    <col customWidth="1" min="3" max="26" width="8.71"/>
  </cols>
  <sheetData>
    <row r="1" ht="31.5" customHeight="1">
      <c r="A1" s="1" t="s">
        <v>0</v>
      </c>
      <c r="B1" s="2"/>
    </row>
    <row r="3" ht="18.0" customHeight="1">
      <c r="A3" s="3" t="s">
        <v>1</v>
      </c>
      <c r="B3" s="4"/>
    </row>
    <row r="4" ht="39.75" customHeight="1">
      <c r="A4" s="5" t="s">
        <v>2</v>
      </c>
      <c r="B4" s="6" t="s">
        <v>3</v>
      </c>
    </row>
    <row r="5" ht="39.75" customHeight="1">
      <c r="A5" s="5" t="s">
        <v>4</v>
      </c>
      <c r="B5" s="7" t="s">
        <v>5</v>
      </c>
    </row>
    <row r="6" ht="39.75" customHeight="1">
      <c r="A6" s="5" t="s">
        <v>6</v>
      </c>
      <c r="B6" s="6" t="s">
        <v>7</v>
      </c>
    </row>
    <row r="8" ht="18.0" customHeight="1">
      <c r="A8" s="3" t="s">
        <v>8</v>
      </c>
      <c r="B8" s="4"/>
    </row>
    <row r="9" ht="39.75" customHeight="1">
      <c r="A9" s="5" t="s">
        <v>9</v>
      </c>
      <c r="B9" s="6" t="s">
        <v>10</v>
      </c>
    </row>
    <row r="10" ht="39.75" customHeight="1">
      <c r="A10" s="5" t="s">
        <v>11</v>
      </c>
      <c r="B10" s="6" t="s">
        <v>12</v>
      </c>
    </row>
    <row r="11" ht="39.75" customHeight="1">
      <c r="A11" s="5" t="s">
        <v>13</v>
      </c>
      <c r="B11" s="6" t="s">
        <v>14</v>
      </c>
    </row>
    <row r="12" ht="39.75" customHeight="1">
      <c r="A12" s="5" t="s">
        <v>15</v>
      </c>
      <c r="B12" s="6" t="s">
        <v>16</v>
      </c>
    </row>
    <row r="14" ht="18.0" customHeight="1">
      <c r="A14" s="3" t="s">
        <v>17</v>
      </c>
      <c r="B14" s="4"/>
    </row>
    <row r="15" ht="39.75" customHeight="1">
      <c r="A15" s="5" t="s">
        <v>18</v>
      </c>
      <c r="B15" s="6" t="s">
        <v>19</v>
      </c>
    </row>
    <row r="16" ht="39.75" customHeight="1">
      <c r="A16" s="5" t="s">
        <v>20</v>
      </c>
      <c r="B16" s="6" t="s">
        <v>21</v>
      </c>
    </row>
    <row r="17" ht="39.75" customHeight="1">
      <c r="A17" s="5" t="s">
        <v>22</v>
      </c>
      <c r="B17" s="6" t="s">
        <v>23</v>
      </c>
    </row>
    <row r="18" ht="39.75" customHeight="1">
      <c r="A18" s="5" t="s">
        <v>24</v>
      </c>
      <c r="B18" s="6" t="s">
        <v>25</v>
      </c>
    </row>
    <row r="19" ht="39.75" customHeight="1">
      <c r="A19" s="5" t="s">
        <v>26</v>
      </c>
      <c r="B19" s="6" t="s">
        <v>27</v>
      </c>
    </row>
    <row r="21" ht="18.0" customHeight="1">
      <c r="A21" s="3" t="s">
        <v>28</v>
      </c>
      <c r="B21" s="4"/>
    </row>
    <row r="22" ht="39.75" customHeight="1">
      <c r="A22" s="5" t="s">
        <v>29</v>
      </c>
      <c r="B22" s="7" t="s">
        <v>30</v>
      </c>
    </row>
    <row r="23" ht="15.75" customHeight="1"/>
    <row r="24" ht="18.0" customHeight="1">
      <c r="A24" s="8"/>
      <c r="B24" s="9"/>
    </row>
    <row r="25" ht="39.75" customHeight="1">
      <c r="A25" s="5"/>
      <c r="B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4.0"/>
    <col customWidth="1" min="2" max="2" width="60.0"/>
    <col customWidth="1" min="3" max="6" width="16.0"/>
    <col customWidth="1" min="7" max="26" width="8.71"/>
  </cols>
  <sheetData>
    <row r="1" ht="30.0" customHeight="1">
      <c r="A1" s="10" t="s">
        <v>31</v>
      </c>
      <c r="B1" s="11"/>
      <c r="C1" s="11"/>
      <c r="D1" s="11"/>
      <c r="E1" s="11"/>
      <c r="F1" s="2"/>
    </row>
    <row r="2" ht="13.5" customHeight="1">
      <c r="A2" s="12" t="s">
        <v>32</v>
      </c>
      <c r="B2" s="11"/>
      <c r="C2" s="11"/>
      <c r="D2" s="11"/>
      <c r="E2" s="11"/>
      <c r="F2" s="2"/>
    </row>
    <row r="4" ht="18.0" customHeight="1">
      <c r="A4" s="13" t="s">
        <v>33</v>
      </c>
      <c r="B4" s="13" t="s">
        <v>34</v>
      </c>
      <c r="C4" s="14" t="s">
        <v>35</v>
      </c>
      <c r="D4" s="13" t="s">
        <v>36</v>
      </c>
      <c r="E4" s="13" t="s">
        <v>37</v>
      </c>
      <c r="F4" s="13" t="s">
        <v>38</v>
      </c>
    </row>
    <row r="5" ht="18.0" customHeight="1">
      <c r="A5" s="15"/>
      <c r="B5" s="16" t="s">
        <v>39</v>
      </c>
      <c r="C5" s="17" t="s">
        <v>35</v>
      </c>
      <c r="D5" s="18" t="s">
        <v>36</v>
      </c>
      <c r="E5" s="18" t="s">
        <v>37</v>
      </c>
      <c r="F5" s="18" t="s">
        <v>38</v>
      </c>
    </row>
    <row r="7" ht="19.5" customHeight="1">
      <c r="A7" s="19" t="s">
        <v>40</v>
      </c>
      <c r="B7" s="11"/>
      <c r="C7" s="11"/>
      <c r="D7" s="11"/>
      <c r="E7" s="11"/>
      <c r="F7" s="2"/>
    </row>
    <row r="8" ht="15.0" customHeight="1">
      <c r="A8" s="20" t="s">
        <v>41</v>
      </c>
      <c r="B8" s="21" t="s">
        <v>42</v>
      </c>
      <c r="C8" s="22"/>
      <c r="D8" s="22"/>
      <c r="E8" s="22"/>
      <c r="F8" s="22"/>
    </row>
    <row r="9" ht="30.0" customHeight="1">
      <c r="A9" s="23"/>
      <c r="B9" s="24" t="s">
        <v>43</v>
      </c>
      <c r="C9" s="25"/>
      <c r="D9" s="26"/>
      <c r="E9" s="26"/>
      <c r="F9" s="26"/>
    </row>
    <row r="10" ht="30.0" customHeight="1">
      <c r="A10" s="23"/>
      <c r="B10" s="24" t="s">
        <v>44</v>
      </c>
      <c r="C10" s="25"/>
      <c r="D10" s="26"/>
      <c r="E10" s="26"/>
      <c r="F10" s="26"/>
    </row>
    <row r="11" ht="30.0" customHeight="1">
      <c r="A11" s="23"/>
      <c r="B11" s="24" t="s">
        <v>45</v>
      </c>
      <c r="C11" s="25"/>
      <c r="D11" s="26"/>
      <c r="E11" s="26"/>
      <c r="F11" s="26"/>
    </row>
    <row r="12" ht="30.0" customHeight="1">
      <c r="A12" s="23"/>
      <c r="B12" s="24" t="s">
        <v>46</v>
      </c>
      <c r="C12" s="27"/>
      <c r="D12" s="26"/>
      <c r="E12" s="26"/>
      <c r="F12" s="26"/>
    </row>
    <row r="13" ht="27.0" customHeight="1">
      <c r="A13" s="28"/>
      <c r="B13" s="29" t="s">
        <v>47</v>
      </c>
      <c r="C13" s="30"/>
      <c r="D13" s="31"/>
      <c r="E13" s="31"/>
      <c r="F13" s="31"/>
    </row>
    <row r="14" ht="12.75" customHeight="1">
      <c r="A14" s="32" t="s">
        <v>48</v>
      </c>
      <c r="B14" s="33" t="s">
        <v>49</v>
      </c>
      <c r="C14" s="34">
        <f t="shared" ref="C14:F14" si="1">SUM(C9:C13)/(COUNT(C9:C13)+COUNTBLANK(C9:C13))</f>
        <v>0</v>
      </c>
      <c r="D14" s="34">
        <f t="shared" si="1"/>
        <v>0</v>
      </c>
      <c r="E14" s="34">
        <f t="shared" si="1"/>
        <v>0</v>
      </c>
      <c r="F14" s="34">
        <f t="shared" si="1"/>
        <v>0</v>
      </c>
    </row>
    <row r="15" ht="15.0" customHeight="1">
      <c r="A15" s="20" t="s">
        <v>50</v>
      </c>
      <c r="B15" s="21" t="s">
        <v>51</v>
      </c>
      <c r="C15" s="22"/>
      <c r="D15" s="22"/>
      <c r="E15" s="22"/>
      <c r="F15" s="22"/>
    </row>
    <row r="16" ht="30.0" customHeight="1">
      <c r="A16" s="23"/>
      <c r="B16" s="24" t="s">
        <v>52</v>
      </c>
      <c r="C16" s="25"/>
      <c r="D16" s="26"/>
      <c r="E16" s="26"/>
      <c r="F16" s="26"/>
    </row>
    <row r="17" ht="30.0" customHeight="1">
      <c r="A17" s="23"/>
      <c r="B17" s="24" t="s">
        <v>53</v>
      </c>
      <c r="C17" s="25"/>
      <c r="D17" s="26"/>
      <c r="E17" s="26"/>
      <c r="F17" s="26"/>
    </row>
    <row r="18" ht="12.75" customHeight="1">
      <c r="A18" s="23"/>
      <c r="B18" s="35" t="s">
        <v>54</v>
      </c>
      <c r="C18" s="25"/>
      <c r="D18" s="36"/>
      <c r="E18" s="36"/>
      <c r="F18" s="36"/>
    </row>
    <row r="19" ht="12.75" customHeight="1">
      <c r="A19" s="32" t="s">
        <v>55</v>
      </c>
      <c r="B19" s="33" t="s">
        <v>56</v>
      </c>
      <c r="C19" s="34">
        <f>SUM(C16:C18)/(COUNT(C16:C18)+COUNTBLANK(C16:C18))</f>
        <v>0</v>
      </c>
      <c r="D19" s="34">
        <f t="shared" ref="D19:F19" si="2">SUM(D16:D17)/(COUNT(D16:D17)+COUNTBLANK(D16:D17))</f>
        <v>0</v>
      </c>
      <c r="E19" s="34">
        <f t="shared" si="2"/>
        <v>0</v>
      </c>
      <c r="F19" s="34">
        <f t="shared" si="2"/>
        <v>0</v>
      </c>
    </row>
    <row r="20" ht="15.0" customHeight="1">
      <c r="A20" s="20" t="s">
        <v>57</v>
      </c>
      <c r="B20" s="37" t="s">
        <v>58</v>
      </c>
      <c r="C20" s="22"/>
      <c r="D20" s="22"/>
      <c r="E20" s="22"/>
      <c r="F20" s="22"/>
    </row>
    <row r="21" ht="30.0" customHeight="1">
      <c r="A21" s="23"/>
      <c r="B21" s="24" t="s">
        <v>59</v>
      </c>
      <c r="C21" s="25"/>
      <c r="D21" s="26"/>
      <c r="E21" s="26"/>
      <c r="F21" s="26"/>
    </row>
    <row r="22" ht="30.0" customHeight="1">
      <c r="A22" s="23"/>
      <c r="B22" s="24" t="s">
        <v>60</v>
      </c>
      <c r="C22" s="25"/>
      <c r="D22" s="26"/>
      <c r="E22" s="26"/>
      <c r="F22" s="26"/>
    </row>
    <row r="23" ht="30.0" customHeight="1">
      <c r="A23" s="23"/>
      <c r="B23" s="24" t="s">
        <v>61</v>
      </c>
      <c r="C23" s="25"/>
      <c r="D23" s="26"/>
      <c r="E23" s="26"/>
      <c r="F23" s="26"/>
    </row>
    <row r="24" ht="12.75" customHeight="1">
      <c r="A24" s="32" t="s">
        <v>62</v>
      </c>
      <c r="B24" s="38" t="s">
        <v>63</v>
      </c>
      <c r="C24" s="34">
        <f t="shared" ref="C24:F24" si="3">SUM(C21:C23)/(COUNT(C21:C23)+COUNTBLANK(C21:C23))</f>
        <v>0</v>
      </c>
      <c r="D24" s="34">
        <f t="shared" si="3"/>
        <v>0</v>
      </c>
      <c r="E24" s="34">
        <f t="shared" si="3"/>
        <v>0</v>
      </c>
      <c r="F24" s="34">
        <f t="shared" si="3"/>
        <v>0</v>
      </c>
    </row>
    <row r="25" ht="15.0" customHeight="1">
      <c r="A25" s="20" t="s">
        <v>64</v>
      </c>
      <c r="B25" s="21" t="s">
        <v>58</v>
      </c>
      <c r="C25" s="22"/>
      <c r="D25" s="22"/>
      <c r="E25" s="22"/>
      <c r="F25" s="22"/>
    </row>
    <row r="26" ht="30.0" customHeight="1">
      <c r="A26" s="23"/>
      <c r="B26" s="24" t="s">
        <v>65</v>
      </c>
      <c r="C26" s="25"/>
      <c r="D26" s="26"/>
      <c r="E26" s="26"/>
      <c r="F26" s="26"/>
    </row>
    <row r="27" ht="30.0" customHeight="1">
      <c r="A27" s="23"/>
      <c r="B27" s="24" t="s">
        <v>66</v>
      </c>
      <c r="C27" s="25"/>
      <c r="D27" s="26"/>
      <c r="E27" s="26"/>
      <c r="F27" s="26"/>
    </row>
    <row r="28" ht="30.0" customHeight="1">
      <c r="A28" s="23"/>
      <c r="B28" s="24" t="s">
        <v>67</v>
      </c>
      <c r="C28" s="25"/>
      <c r="D28" s="26"/>
      <c r="E28" s="26"/>
      <c r="F28" s="26"/>
    </row>
    <row r="29" ht="12.75" customHeight="1">
      <c r="A29" s="32" t="s">
        <v>68</v>
      </c>
      <c r="B29" s="33" t="s">
        <v>63</v>
      </c>
      <c r="C29" s="34">
        <f t="shared" ref="C29:F29" si="4">SUM(C26:C28)/(COUNT(C26:C28)+COUNTBLANK(C26:C28))</f>
        <v>0</v>
      </c>
      <c r="D29" s="34">
        <f t="shared" si="4"/>
        <v>0</v>
      </c>
      <c r="E29" s="34">
        <f t="shared" si="4"/>
        <v>0</v>
      </c>
      <c r="F29" s="34">
        <f t="shared" si="4"/>
        <v>0</v>
      </c>
    </row>
    <row r="30" ht="15.0" customHeight="1">
      <c r="A30" s="20" t="s">
        <v>69</v>
      </c>
      <c r="B30" s="21" t="s">
        <v>58</v>
      </c>
      <c r="C30" s="22"/>
      <c r="D30" s="22"/>
      <c r="E30" s="22"/>
      <c r="F30" s="22"/>
    </row>
    <row r="31" ht="30.0" customHeight="1">
      <c r="A31" s="23"/>
      <c r="B31" s="24" t="s">
        <v>70</v>
      </c>
      <c r="C31" s="25"/>
      <c r="D31" s="26"/>
      <c r="E31" s="26"/>
      <c r="F31" s="26"/>
    </row>
    <row r="32" ht="30.0" customHeight="1">
      <c r="A32" s="23"/>
      <c r="B32" s="24" t="s">
        <v>71</v>
      </c>
      <c r="C32" s="25"/>
      <c r="D32" s="26"/>
      <c r="E32" s="26"/>
      <c r="F32" s="26"/>
    </row>
    <row r="33" ht="30.0" customHeight="1">
      <c r="A33" s="23"/>
      <c r="B33" s="24" t="s">
        <v>72</v>
      </c>
      <c r="C33" s="25"/>
      <c r="D33" s="26"/>
      <c r="E33" s="26"/>
      <c r="F33" s="26"/>
    </row>
    <row r="34" ht="12.75" customHeight="1">
      <c r="A34" s="32" t="s">
        <v>73</v>
      </c>
      <c r="B34" s="33" t="s">
        <v>63</v>
      </c>
      <c r="C34" s="34">
        <f t="shared" ref="C34:F34" si="5">SUM(C31:C33)/(COUNT(C31:C33)+COUNTBLANK(C31:C33))</f>
        <v>0</v>
      </c>
      <c r="D34" s="34">
        <f t="shared" si="5"/>
        <v>0</v>
      </c>
      <c r="E34" s="34">
        <f t="shared" si="5"/>
        <v>0</v>
      </c>
      <c r="F34" s="34">
        <f t="shared" si="5"/>
        <v>0</v>
      </c>
    </row>
    <row r="35" ht="19.5" customHeight="1">
      <c r="A35" s="19" t="s">
        <v>74</v>
      </c>
      <c r="B35" s="2"/>
      <c r="C35" s="39">
        <f t="shared" ref="C35:F35" si="6">AVERAGE(C14,C19,C24,C29,C34)</f>
        <v>0</v>
      </c>
      <c r="D35" s="39">
        <f t="shared" si="6"/>
        <v>0</v>
      </c>
      <c r="E35" s="39">
        <f t="shared" si="6"/>
        <v>0</v>
      </c>
      <c r="F35" s="39">
        <f t="shared" si="6"/>
        <v>0</v>
      </c>
    </row>
    <row r="36" ht="15.75" customHeight="1"/>
    <row r="37" ht="19.5" customHeight="1">
      <c r="A37" s="40" t="s">
        <v>75</v>
      </c>
      <c r="B37" s="11"/>
      <c r="C37" s="11"/>
      <c r="D37" s="11"/>
      <c r="E37" s="11"/>
      <c r="F37" s="2"/>
    </row>
    <row r="38" ht="15.0" customHeight="1">
      <c r="A38" s="41" t="s">
        <v>76</v>
      </c>
      <c r="B38" s="42" t="s">
        <v>58</v>
      </c>
      <c r="C38" s="43"/>
      <c r="D38" s="43"/>
      <c r="E38" s="43"/>
      <c r="F38" s="43"/>
    </row>
    <row r="39" ht="30.0" customHeight="1">
      <c r="A39" s="44"/>
      <c r="B39" s="45" t="s">
        <v>77</v>
      </c>
      <c r="C39" s="25"/>
      <c r="D39" s="26"/>
      <c r="E39" s="26"/>
      <c r="F39" s="26"/>
    </row>
    <row r="40" ht="30.0" customHeight="1">
      <c r="A40" s="44"/>
      <c r="B40" s="45" t="s">
        <v>78</v>
      </c>
      <c r="C40" s="25"/>
      <c r="D40" s="26"/>
      <c r="E40" s="26"/>
      <c r="F40" s="26"/>
    </row>
    <row r="41" ht="30.0" customHeight="1">
      <c r="A41" s="44"/>
      <c r="B41" s="45" t="s">
        <v>79</v>
      </c>
      <c r="C41" s="25"/>
      <c r="D41" s="26"/>
      <c r="E41" s="26"/>
      <c r="F41" s="26"/>
    </row>
    <row r="42" ht="12.75" customHeight="1">
      <c r="A42" s="32" t="s">
        <v>80</v>
      </c>
      <c r="B42" s="33" t="s">
        <v>63</v>
      </c>
      <c r="C42" s="34">
        <f t="shared" ref="C42:F42" si="7">SUM(C39:C41)/(COUNT(C39:C41)+COUNTBLANK(C39:C41))</f>
        <v>0</v>
      </c>
      <c r="D42" s="34">
        <f t="shared" si="7"/>
        <v>0</v>
      </c>
      <c r="E42" s="34">
        <f t="shared" si="7"/>
        <v>0</v>
      </c>
      <c r="F42" s="34">
        <f t="shared" si="7"/>
        <v>0</v>
      </c>
    </row>
    <row r="43" ht="15.0" customHeight="1">
      <c r="A43" s="41" t="s">
        <v>81</v>
      </c>
      <c r="B43" s="46" t="s">
        <v>82</v>
      </c>
      <c r="C43" s="43"/>
      <c r="D43" s="43"/>
      <c r="E43" s="43"/>
      <c r="F43" s="43"/>
    </row>
    <row r="44" ht="30.0" customHeight="1">
      <c r="A44" s="44"/>
      <c r="B44" s="45" t="s">
        <v>83</v>
      </c>
      <c r="C44" s="25"/>
      <c r="D44" s="26"/>
      <c r="E44" s="26"/>
      <c r="F44" s="26"/>
    </row>
    <row r="45" ht="30.0" customHeight="1">
      <c r="A45" s="44"/>
      <c r="B45" s="45" t="s">
        <v>84</v>
      </c>
      <c r="C45" s="25"/>
      <c r="D45" s="26"/>
      <c r="E45" s="26"/>
      <c r="F45" s="26"/>
    </row>
    <row r="46" ht="30.0" customHeight="1">
      <c r="A46" s="44"/>
      <c r="B46" s="45" t="s">
        <v>85</v>
      </c>
      <c r="C46" s="25"/>
      <c r="D46" s="26"/>
      <c r="E46" s="26"/>
      <c r="F46" s="26"/>
    </row>
    <row r="47" ht="30.0" customHeight="1">
      <c r="A47" s="44"/>
      <c r="B47" s="45" t="s">
        <v>86</v>
      </c>
      <c r="C47" s="25"/>
      <c r="D47" s="26"/>
      <c r="E47" s="26"/>
      <c r="F47" s="26"/>
    </row>
    <row r="48" ht="12.75" customHeight="1">
      <c r="A48" s="32" t="s">
        <v>87</v>
      </c>
      <c r="B48" s="38" t="s">
        <v>88</v>
      </c>
      <c r="C48" s="34">
        <f t="shared" ref="C48:F48" si="8">SUM(C44:C47)/(COUNT(C44:C47)+COUNTBLANK(C44:C47))</f>
        <v>0</v>
      </c>
      <c r="D48" s="34">
        <f t="shared" si="8"/>
        <v>0</v>
      </c>
      <c r="E48" s="34">
        <f t="shared" si="8"/>
        <v>0</v>
      </c>
      <c r="F48" s="34">
        <f t="shared" si="8"/>
        <v>0</v>
      </c>
    </row>
    <row r="49" ht="15.0" customHeight="1">
      <c r="A49" s="41" t="s">
        <v>89</v>
      </c>
      <c r="B49" s="42" t="s">
        <v>58</v>
      </c>
      <c r="C49" s="43"/>
      <c r="D49" s="43"/>
      <c r="E49" s="43"/>
      <c r="F49" s="43"/>
    </row>
    <row r="50" ht="30.0" customHeight="1">
      <c r="A50" s="44"/>
      <c r="B50" s="45" t="s">
        <v>90</v>
      </c>
      <c r="C50" s="25"/>
      <c r="D50" s="26"/>
      <c r="E50" s="26"/>
      <c r="F50" s="26"/>
    </row>
    <row r="51" ht="30.0" customHeight="1">
      <c r="A51" s="44"/>
      <c r="B51" s="45" t="s">
        <v>91</v>
      </c>
      <c r="C51" s="25"/>
      <c r="D51" s="26"/>
      <c r="E51" s="26"/>
      <c r="F51" s="26"/>
    </row>
    <row r="52" ht="30.0" customHeight="1">
      <c r="A52" s="44"/>
      <c r="B52" s="45" t="s">
        <v>92</v>
      </c>
      <c r="C52" s="25"/>
      <c r="D52" s="26"/>
      <c r="E52" s="26"/>
      <c r="F52" s="26"/>
    </row>
    <row r="53" ht="12.75" customHeight="1">
      <c r="A53" s="32" t="s">
        <v>93</v>
      </c>
      <c r="B53" s="33" t="s">
        <v>63</v>
      </c>
      <c r="C53" s="34">
        <f t="shared" ref="C53:F53" si="9">SUM(C50:C52)/(COUNT(C50:C52)+COUNTBLANK(C50:C52))</f>
        <v>0</v>
      </c>
      <c r="D53" s="34">
        <f t="shared" si="9"/>
        <v>0</v>
      </c>
      <c r="E53" s="34">
        <f t="shared" si="9"/>
        <v>0</v>
      </c>
      <c r="F53" s="34">
        <f t="shared" si="9"/>
        <v>0</v>
      </c>
    </row>
    <row r="54" ht="15.0" customHeight="1">
      <c r="A54" s="41" t="s">
        <v>94</v>
      </c>
      <c r="B54" s="46" t="s">
        <v>58</v>
      </c>
      <c r="C54" s="43"/>
      <c r="D54" s="43"/>
      <c r="E54" s="43"/>
      <c r="F54" s="43"/>
    </row>
    <row r="55" ht="30.0" customHeight="1">
      <c r="A55" s="44"/>
      <c r="B55" s="45" t="s">
        <v>95</v>
      </c>
      <c r="C55" s="25"/>
      <c r="D55" s="26"/>
      <c r="E55" s="26"/>
      <c r="F55" s="26"/>
    </row>
    <row r="56" ht="30.0" customHeight="1">
      <c r="A56" s="44"/>
      <c r="B56" s="45" t="s">
        <v>96</v>
      </c>
      <c r="C56" s="25"/>
      <c r="D56" s="26"/>
      <c r="E56" s="26"/>
      <c r="F56" s="26"/>
    </row>
    <row r="57" ht="30.0" customHeight="1">
      <c r="A57" s="44"/>
      <c r="B57" s="45" t="s">
        <v>97</v>
      </c>
      <c r="C57" s="25"/>
      <c r="D57" s="26"/>
      <c r="E57" s="26"/>
      <c r="F57" s="26"/>
    </row>
    <row r="58" ht="12.75" customHeight="1">
      <c r="A58" s="32" t="s">
        <v>98</v>
      </c>
      <c r="B58" s="38" t="s">
        <v>63</v>
      </c>
      <c r="C58" s="34">
        <f t="shared" ref="C58:F58" si="10">SUM(C55:C57)/(COUNT(C55:C57)+COUNTBLANK(C55:C57))</f>
        <v>0</v>
      </c>
      <c r="D58" s="34">
        <f t="shared" si="10"/>
        <v>0</v>
      </c>
      <c r="E58" s="34">
        <f t="shared" si="10"/>
        <v>0</v>
      </c>
      <c r="F58" s="34">
        <f t="shared" si="10"/>
        <v>0</v>
      </c>
    </row>
    <row r="59" ht="15.0" customHeight="1">
      <c r="A59" s="41" t="s">
        <v>99</v>
      </c>
      <c r="B59" s="46" t="s">
        <v>58</v>
      </c>
      <c r="C59" s="43"/>
      <c r="D59" s="43"/>
      <c r="E59" s="43"/>
      <c r="F59" s="43"/>
    </row>
    <row r="60" ht="30.0" customHeight="1">
      <c r="A60" s="44"/>
      <c r="B60" s="45" t="s">
        <v>100</v>
      </c>
      <c r="C60" s="25"/>
      <c r="D60" s="26"/>
      <c r="E60" s="26"/>
      <c r="F60" s="26"/>
    </row>
    <row r="61" ht="30.0" customHeight="1">
      <c r="A61" s="44"/>
      <c r="B61" s="45" t="s">
        <v>101</v>
      </c>
      <c r="C61" s="25"/>
      <c r="D61" s="26"/>
      <c r="E61" s="26"/>
      <c r="F61" s="26"/>
    </row>
    <row r="62" ht="30.0" customHeight="1">
      <c r="A62" s="44"/>
      <c r="B62" s="47" t="s">
        <v>102</v>
      </c>
      <c r="C62" s="25"/>
      <c r="D62" s="26"/>
      <c r="E62" s="26"/>
      <c r="F62" s="26"/>
    </row>
    <row r="63" ht="12.75" customHeight="1">
      <c r="A63" s="32" t="s">
        <v>103</v>
      </c>
      <c r="B63" s="38" t="s">
        <v>63</v>
      </c>
      <c r="C63" s="34">
        <f t="shared" ref="C63:F63" si="11">SUM(C60:C62)/(COUNT(C60:C62)+COUNTBLANK(C60:C62))</f>
        <v>0</v>
      </c>
      <c r="D63" s="34">
        <f t="shared" si="11"/>
        <v>0</v>
      </c>
      <c r="E63" s="34">
        <f t="shared" si="11"/>
        <v>0</v>
      </c>
      <c r="F63" s="34">
        <f t="shared" si="11"/>
        <v>0</v>
      </c>
    </row>
    <row r="64" ht="19.5" customHeight="1">
      <c r="A64" s="40" t="s">
        <v>104</v>
      </c>
      <c r="B64" s="2"/>
      <c r="C64" s="48">
        <f>AVERAGE(C63,C58,C53,C48,C42)</f>
        <v>0</v>
      </c>
      <c r="D64" s="48">
        <f t="shared" ref="D64:F64" si="12">SUM(D63,D58,D53,D48,D42)</f>
        <v>0</v>
      </c>
      <c r="E64" s="48">
        <f t="shared" si="12"/>
        <v>0</v>
      </c>
      <c r="F64" s="48">
        <f t="shared" si="12"/>
        <v>0</v>
      </c>
    </row>
    <row r="65" ht="15.75" customHeight="1"/>
    <row r="66" ht="19.5" customHeight="1">
      <c r="A66" s="49" t="s">
        <v>105</v>
      </c>
      <c r="B66" s="11"/>
      <c r="C66" s="11"/>
      <c r="D66" s="11"/>
      <c r="E66" s="11"/>
      <c r="F66" s="2"/>
    </row>
    <row r="67" ht="15.0" customHeight="1">
      <c r="A67" s="50" t="s">
        <v>106</v>
      </c>
      <c r="B67" s="51" t="s">
        <v>58</v>
      </c>
      <c r="C67" s="52"/>
      <c r="D67" s="52"/>
      <c r="E67" s="52"/>
      <c r="F67" s="52"/>
    </row>
    <row r="68" ht="30.0" customHeight="1">
      <c r="A68" s="53"/>
      <c r="B68" s="54" t="s">
        <v>107</v>
      </c>
      <c r="C68" s="25"/>
      <c r="D68" s="26"/>
      <c r="E68" s="26"/>
      <c r="F68" s="26"/>
    </row>
    <row r="69" ht="30.0" customHeight="1">
      <c r="A69" s="53"/>
      <c r="B69" s="55" t="s">
        <v>108</v>
      </c>
      <c r="C69" s="25"/>
      <c r="D69" s="26"/>
      <c r="E69" s="26"/>
      <c r="F69" s="26"/>
    </row>
    <row r="70" ht="30.0" customHeight="1">
      <c r="A70" s="53"/>
      <c r="B70" s="55" t="s">
        <v>109</v>
      </c>
      <c r="C70" s="25"/>
      <c r="D70" s="26"/>
      <c r="E70" s="26"/>
      <c r="F70" s="26"/>
    </row>
    <row r="71" ht="12.75" customHeight="1">
      <c r="A71" s="32" t="s">
        <v>110</v>
      </c>
      <c r="B71" s="33" t="s">
        <v>63</v>
      </c>
      <c r="C71" s="34">
        <f t="shared" ref="C71:F71" si="13">SUM(C68:C70)/(COUNT(C68:C70)+COUNTBLANK(C68:C70))</f>
        <v>0</v>
      </c>
      <c r="D71" s="34">
        <f t="shared" si="13"/>
        <v>0</v>
      </c>
      <c r="E71" s="34">
        <f t="shared" si="13"/>
        <v>0</v>
      </c>
      <c r="F71" s="34">
        <f t="shared" si="13"/>
        <v>0</v>
      </c>
    </row>
    <row r="72" ht="15.0" customHeight="1">
      <c r="A72" s="50" t="s">
        <v>111</v>
      </c>
      <c r="B72" s="51" t="s">
        <v>51</v>
      </c>
      <c r="C72" s="52"/>
      <c r="D72" s="52"/>
      <c r="E72" s="52"/>
      <c r="F72" s="52"/>
    </row>
    <row r="73" ht="30.0" customHeight="1">
      <c r="A73" s="53"/>
      <c r="B73" s="55" t="s">
        <v>112</v>
      </c>
      <c r="C73" s="25"/>
      <c r="D73" s="26"/>
      <c r="E73" s="26"/>
      <c r="F73" s="26"/>
    </row>
    <row r="74" ht="30.0" customHeight="1">
      <c r="A74" s="53"/>
      <c r="B74" s="55" t="s">
        <v>113</v>
      </c>
      <c r="C74" s="25"/>
      <c r="D74" s="26"/>
      <c r="E74" s="26"/>
      <c r="F74" s="26"/>
    </row>
    <row r="75" ht="12.75" customHeight="1">
      <c r="A75" s="32" t="s">
        <v>114</v>
      </c>
      <c r="B75" s="33" t="s">
        <v>56</v>
      </c>
      <c r="C75" s="34">
        <f t="shared" ref="C75:F75" si="14">SUM(C73:C74)/(COUNT(C73:C74)+COUNTBLANK(C73:C74))</f>
        <v>0</v>
      </c>
      <c r="D75" s="34">
        <f t="shared" si="14"/>
        <v>0</v>
      </c>
      <c r="E75" s="34">
        <f t="shared" si="14"/>
        <v>0</v>
      </c>
      <c r="F75" s="34">
        <f t="shared" si="14"/>
        <v>0</v>
      </c>
    </row>
    <row r="76" ht="15.0" customHeight="1">
      <c r="A76" s="56" t="s">
        <v>115</v>
      </c>
      <c r="B76" s="51" t="s">
        <v>51</v>
      </c>
      <c r="C76" s="52"/>
      <c r="D76" s="52"/>
      <c r="E76" s="52"/>
      <c r="F76" s="52"/>
    </row>
    <row r="77" ht="30.0" customHeight="1">
      <c r="A77" s="53"/>
      <c r="B77" s="55" t="s">
        <v>116</v>
      </c>
      <c r="C77" s="25"/>
      <c r="D77" s="26"/>
      <c r="E77" s="26"/>
      <c r="F77" s="26"/>
    </row>
    <row r="78" ht="30.0" customHeight="1">
      <c r="A78" s="53"/>
      <c r="B78" s="55" t="s">
        <v>117</v>
      </c>
      <c r="C78" s="25"/>
      <c r="D78" s="26"/>
      <c r="E78" s="26"/>
      <c r="F78" s="26"/>
    </row>
    <row r="79" ht="12.75" customHeight="1">
      <c r="A79" s="32" t="s">
        <v>118</v>
      </c>
      <c r="B79" s="33" t="s">
        <v>56</v>
      </c>
      <c r="C79" s="34">
        <f t="shared" ref="C79:F79" si="15">SUM(C77:C78)/(COUNT(C77:C78)+COUNTBLANK(C77:C78))</f>
        <v>0</v>
      </c>
      <c r="D79" s="34">
        <f t="shared" si="15"/>
        <v>0</v>
      </c>
      <c r="E79" s="34">
        <f t="shared" si="15"/>
        <v>0</v>
      </c>
      <c r="F79" s="34">
        <f t="shared" si="15"/>
        <v>0</v>
      </c>
    </row>
    <row r="80" ht="15.0" customHeight="1">
      <c r="A80" s="50" t="s">
        <v>119</v>
      </c>
      <c r="B80" s="51" t="s">
        <v>51</v>
      </c>
      <c r="C80" s="52"/>
      <c r="D80" s="52"/>
      <c r="E80" s="52"/>
      <c r="F80" s="52"/>
    </row>
    <row r="81" ht="30.0" customHeight="1">
      <c r="A81" s="53"/>
      <c r="B81" s="55" t="s">
        <v>120</v>
      </c>
      <c r="C81" s="25"/>
      <c r="D81" s="26"/>
      <c r="E81" s="26"/>
      <c r="F81" s="26"/>
    </row>
    <row r="82" ht="30.0" customHeight="1">
      <c r="A82" s="53"/>
      <c r="B82" s="55" t="s">
        <v>121</v>
      </c>
      <c r="C82" s="25"/>
      <c r="D82" s="26"/>
      <c r="E82" s="26"/>
      <c r="F82" s="26"/>
    </row>
    <row r="83" ht="12.75" customHeight="1">
      <c r="A83" s="32" t="s">
        <v>122</v>
      </c>
      <c r="B83" s="33" t="s">
        <v>56</v>
      </c>
      <c r="C83" s="34">
        <f t="shared" ref="C83:F83" si="16">SUM(C81:C82)/(COUNT(C81:C82)+COUNTBLANK(C81:C82))</f>
        <v>0</v>
      </c>
      <c r="D83" s="34">
        <f t="shared" si="16"/>
        <v>0</v>
      </c>
      <c r="E83" s="34">
        <f t="shared" si="16"/>
        <v>0</v>
      </c>
      <c r="F83" s="34">
        <f t="shared" si="16"/>
        <v>0</v>
      </c>
    </row>
    <row r="84" ht="19.5" customHeight="1">
      <c r="A84" s="49" t="s">
        <v>123</v>
      </c>
      <c r="B84" s="2"/>
      <c r="C84" s="57">
        <f>AVERAGE(C71,C75,C79,C83)</f>
        <v>0</v>
      </c>
      <c r="D84" s="57">
        <f t="shared" ref="D84:F84" si="17">SUM(D71,D75,D79,D83)</f>
        <v>0</v>
      </c>
      <c r="E84" s="57">
        <f t="shared" si="17"/>
        <v>0</v>
      </c>
      <c r="F84" s="57">
        <f t="shared" si="17"/>
        <v>0</v>
      </c>
    </row>
    <row r="85" ht="15.75" customHeight="1"/>
    <row r="86" ht="19.5" customHeight="1">
      <c r="A86" s="58" t="s">
        <v>124</v>
      </c>
      <c r="B86" s="11"/>
      <c r="C86" s="11"/>
      <c r="D86" s="11"/>
      <c r="E86" s="11"/>
      <c r="F86" s="2"/>
    </row>
    <row r="87" ht="15.0" customHeight="1">
      <c r="A87" s="59" t="s">
        <v>125</v>
      </c>
      <c r="B87" s="60" t="s">
        <v>58</v>
      </c>
      <c r="C87" s="61"/>
      <c r="D87" s="61"/>
      <c r="E87" s="61"/>
      <c r="F87" s="61"/>
    </row>
    <row r="88" ht="30.0" customHeight="1">
      <c r="A88" s="62"/>
      <c r="B88" s="63" t="s">
        <v>126</v>
      </c>
      <c r="C88" s="25"/>
      <c r="D88" s="26"/>
      <c r="E88" s="26"/>
      <c r="F88" s="26"/>
    </row>
    <row r="89" ht="30.0" customHeight="1">
      <c r="A89" s="62"/>
      <c r="B89" s="63" t="s">
        <v>127</v>
      </c>
      <c r="C89" s="25"/>
      <c r="D89" s="26"/>
      <c r="E89" s="26"/>
      <c r="F89" s="26"/>
    </row>
    <row r="90" ht="30.0" customHeight="1">
      <c r="A90" s="62"/>
      <c r="B90" s="63" t="s">
        <v>128</v>
      </c>
      <c r="C90" s="25"/>
      <c r="D90" s="26"/>
      <c r="E90" s="26"/>
      <c r="F90" s="26"/>
    </row>
    <row r="91" ht="12.75" customHeight="1">
      <c r="A91" s="32" t="s">
        <v>129</v>
      </c>
      <c r="B91" s="33" t="s">
        <v>63</v>
      </c>
      <c r="C91" s="34">
        <f t="shared" ref="C91:F91" si="18">SUM(C88:C90)/(COUNT(C88:C90)+COUNTBLANK(C88:C90))</f>
        <v>0</v>
      </c>
      <c r="D91" s="34">
        <f t="shared" si="18"/>
        <v>0</v>
      </c>
      <c r="E91" s="34">
        <f t="shared" si="18"/>
        <v>0</v>
      </c>
      <c r="F91" s="34">
        <f t="shared" si="18"/>
        <v>0</v>
      </c>
    </row>
    <row r="92" ht="15.0" customHeight="1">
      <c r="A92" s="59" t="s">
        <v>130</v>
      </c>
      <c r="B92" s="60" t="s">
        <v>51</v>
      </c>
      <c r="C92" s="61"/>
      <c r="D92" s="61"/>
      <c r="E92" s="61"/>
      <c r="F92" s="61"/>
    </row>
    <row r="93" ht="30.0" customHeight="1">
      <c r="A93" s="62"/>
      <c r="B93" s="63" t="s">
        <v>131</v>
      </c>
      <c r="C93" s="25"/>
      <c r="D93" s="26"/>
      <c r="E93" s="26"/>
      <c r="F93" s="26"/>
    </row>
    <row r="94" ht="30.0" customHeight="1">
      <c r="A94" s="62"/>
      <c r="B94" s="63" t="s">
        <v>132</v>
      </c>
      <c r="C94" s="25"/>
      <c r="D94" s="26"/>
      <c r="E94" s="26"/>
      <c r="F94" s="26"/>
    </row>
    <row r="95" ht="12.75" customHeight="1">
      <c r="A95" s="32" t="s">
        <v>133</v>
      </c>
      <c r="B95" s="33" t="s">
        <v>56</v>
      </c>
      <c r="C95" s="34">
        <f t="shared" ref="C95:F95" si="19">SUM(C93:C94)/(COUNT(C93:C94)+COUNTBLANK(C93:C94))</f>
        <v>0</v>
      </c>
      <c r="D95" s="34">
        <f t="shared" si="19"/>
        <v>0</v>
      </c>
      <c r="E95" s="34">
        <f t="shared" si="19"/>
        <v>0</v>
      </c>
      <c r="F95" s="34">
        <f t="shared" si="19"/>
        <v>0</v>
      </c>
    </row>
    <row r="96" ht="15.0" customHeight="1">
      <c r="A96" s="59" t="s">
        <v>134</v>
      </c>
      <c r="B96" s="60" t="s">
        <v>58</v>
      </c>
      <c r="C96" s="61"/>
      <c r="D96" s="61"/>
      <c r="E96" s="61"/>
      <c r="F96" s="61"/>
    </row>
    <row r="97" ht="30.0" customHeight="1">
      <c r="A97" s="62"/>
      <c r="B97" s="63" t="s">
        <v>135</v>
      </c>
      <c r="C97" s="25"/>
      <c r="D97" s="26"/>
      <c r="E97" s="26"/>
      <c r="F97" s="26"/>
    </row>
    <row r="98" ht="30.0" customHeight="1">
      <c r="A98" s="62"/>
      <c r="B98" s="64" t="s">
        <v>136</v>
      </c>
      <c r="C98" s="25"/>
      <c r="D98" s="26"/>
      <c r="E98" s="26"/>
      <c r="F98" s="26"/>
    </row>
    <row r="99" ht="30.0" customHeight="1">
      <c r="A99" s="62"/>
      <c r="B99" s="64" t="s">
        <v>137</v>
      </c>
      <c r="C99" s="25"/>
      <c r="D99" s="26"/>
      <c r="E99" s="26"/>
      <c r="F99" s="26"/>
    </row>
    <row r="100" ht="12.75" customHeight="1">
      <c r="A100" s="32" t="s">
        <v>138</v>
      </c>
      <c r="B100" s="33" t="s">
        <v>63</v>
      </c>
      <c r="C100" s="34">
        <f t="shared" ref="C100:F100" si="20">SUM(C97:C99)/(COUNT(C97:C99)+COUNTBLANK(C97:C99))</f>
        <v>0</v>
      </c>
      <c r="D100" s="34">
        <f t="shared" si="20"/>
        <v>0</v>
      </c>
      <c r="E100" s="34">
        <f t="shared" si="20"/>
        <v>0</v>
      </c>
      <c r="F100" s="34">
        <f t="shared" si="20"/>
        <v>0</v>
      </c>
    </row>
    <row r="101" ht="19.5" customHeight="1">
      <c r="A101" s="58" t="s">
        <v>139</v>
      </c>
      <c r="B101" s="2"/>
      <c r="C101" s="65">
        <f>AVERAGE(C91,C95,C100)</f>
        <v>0</v>
      </c>
      <c r="D101" s="65">
        <f t="shared" ref="D101:F101" si="21">SUM(D91,D95,D100)</f>
        <v>0</v>
      </c>
      <c r="E101" s="65">
        <f t="shared" si="21"/>
        <v>0</v>
      </c>
      <c r="F101" s="65">
        <f t="shared" si="21"/>
        <v>0</v>
      </c>
    </row>
    <row r="102" ht="15.75" customHeight="1"/>
    <row r="103" ht="19.5" customHeight="1">
      <c r="A103" s="66" t="s">
        <v>140</v>
      </c>
      <c r="B103" s="11"/>
      <c r="C103" s="11"/>
      <c r="D103" s="11"/>
      <c r="E103" s="11"/>
      <c r="F103" s="2"/>
    </row>
    <row r="104" ht="15.0" customHeight="1">
      <c r="A104" s="67" t="s">
        <v>141</v>
      </c>
      <c r="B104" s="68" t="s">
        <v>58</v>
      </c>
      <c r="C104" s="69"/>
      <c r="D104" s="69"/>
      <c r="E104" s="69"/>
      <c r="F104" s="69"/>
    </row>
    <row r="105" ht="30.0" customHeight="1">
      <c r="A105" s="70"/>
      <c r="B105" s="71" t="s">
        <v>142</v>
      </c>
      <c r="C105" s="25"/>
      <c r="D105" s="26"/>
      <c r="E105" s="26"/>
      <c r="F105" s="26"/>
    </row>
    <row r="106" ht="30.0" customHeight="1">
      <c r="A106" s="70"/>
      <c r="B106" s="72" t="s">
        <v>143</v>
      </c>
      <c r="C106" s="25"/>
      <c r="D106" s="26"/>
      <c r="E106" s="26"/>
      <c r="F106" s="26"/>
    </row>
    <row r="107" ht="30.0" customHeight="1">
      <c r="A107" s="70"/>
      <c r="B107" s="71" t="s">
        <v>144</v>
      </c>
      <c r="C107" s="25"/>
      <c r="D107" s="26"/>
      <c r="E107" s="26"/>
      <c r="F107" s="26"/>
    </row>
    <row r="108" ht="12.75" customHeight="1">
      <c r="A108" s="32" t="s">
        <v>145</v>
      </c>
      <c r="B108" s="33" t="s">
        <v>63</v>
      </c>
      <c r="C108" s="34">
        <f t="shared" ref="C108:F108" si="22">SUM(C105:C107)/(COUNT(C105:C107)+COUNTBLANK(C105:C107))</f>
        <v>0</v>
      </c>
      <c r="D108" s="34">
        <f t="shared" si="22"/>
        <v>0</v>
      </c>
      <c r="E108" s="34">
        <f t="shared" si="22"/>
        <v>0</v>
      </c>
      <c r="F108" s="34">
        <f t="shared" si="22"/>
        <v>0</v>
      </c>
    </row>
    <row r="109" ht="15.0" customHeight="1">
      <c r="A109" s="67" t="s">
        <v>146</v>
      </c>
      <c r="B109" s="68" t="s">
        <v>58</v>
      </c>
      <c r="C109" s="69"/>
      <c r="D109" s="69"/>
      <c r="E109" s="69"/>
      <c r="F109" s="69"/>
    </row>
    <row r="110" ht="30.0" customHeight="1">
      <c r="A110" s="70"/>
      <c r="B110" s="71" t="s">
        <v>147</v>
      </c>
      <c r="C110" s="25"/>
      <c r="D110" s="26"/>
      <c r="E110" s="26"/>
      <c r="F110" s="26"/>
    </row>
    <row r="111" ht="30.0" customHeight="1">
      <c r="A111" s="70"/>
      <c r="B111" s="72" t="s">
        <v>148</v>
      </c>
      <c r="C111" s="25"/>
      <c r="D111" s="26"/>
      <c r="E111" s="26"/>
      <c r="F111" s="26"/>
    </row>
    <row r="112" ht="30.0" customHeight="1">
      <c r="A112" s="70"/>
      <c r="B112" s="71" t="s">
        <v>149</v>
      </c>
      <c r="C112" s="25"/>
      <c r="D112" s="26"/>
      <c r="E112" s="26"/>
      <c r="F112" s="26"/>
    </row>
    <row r="113" ht="12.75" customHeight="1">
      <c r="A113" s="32" t="s">
        <v>150</v>
      </c>
      <c r="B113" s="33" t="s">
        <v>63</v>
      </c>
      <c r="C113" s="34">
        <f t="shared" ref="C113:F113" si="23">SUM(C110:C112)/(COUNT(C110:C112)+COUNTBLANK(C110:C112))</f>
        <v>0</v>
      </c>
      <c r="D113" s="34">
        <f t="shared" si="23"/>
        <v>0</v>
      </c>
      <c r="E113" s="34">
        <f t="shared" si="23"/>
        <v>0</v>
      </c>
      <c r="F113" s="34">
        <f t="shared" si="23"/>
        <v>0</v>
      </c>
    </row>
    <row r="114" ht="15.0" customHeight="1">
      <c r="A114" s="67" t="s">
        <v>151</v>
      </c>
      <c r="B114" s="73" t="s">
        <v>82</v>
      </c>
      <c r="C114" s="69"/>
      <c r="D114" s="69"/>
      <c r="E114" s="69"/>
      <c r="F114" s="69"/>
    </row>
    <row r="115" ht="30.0" customHeight="1">
      <c r="A115" s="70"/>
      <c r="B115" s="71" t="s">
        <v>152</v>
      </c>
      <c r="C115" s="25"/>
      <c r="D115" s="26"/>
      <c r="E115" s="26"/>
      <c r="F115" s="26"/>
    </row>
    <row r="116" ht="30.0" customHeight="1">
      <c r="A116" s="70"/>
      <c r="B116" s="71" t="s">
        <v>153</v>
      </c>
      <c r="C116" s="25"/>
      <c r="D116" s="26"/>
      <c r="E116" s="26"/>
      <c r="F116" s="26"/>
    </row>
    <row r="117" ht="30.0" customHeight="1">
      <c r="A117" s="70"/>
      <c r="B117" s="72" t="s">
        <v>154</v>
      </c>
      <c r="C117" s="25"/>
      <c r="D117" s="26"/>
      <c r="E117" s="26"/>
      <c r="F117" s="26"/>
    </row>
    <row r="118" ht="30.0" customHeight="1">
      <c r="A118" s="70"/>
      <c r="B118" s="72" t="s">
        <v>155</v>
      </c>
      <c r="C118" s="25"/>
      <c r="D118" s="26"/>
      <c r="E118" s="26"/>
      <c r="F118" s="26"/>
    </row>
    <row r="119" ht="12.75" customHeight="1">
      <c r="A119" s="32" t="s">
        <v>156</v>
      </c>
      <c r="B119" s="38" t="s">
        <v>88</v>
      </c>
      <c r="C119" s="34">
        <f t="shared" ref="C119:F119" si="24">SUM(C114:C118)/(COUNT(C114:C118)+COUNTBLANK(C114:C118))</f>
        <v>0</v>
      </c>
      <c r="D119" s="34">
        <f t="shared" si="24"/>
        <v>0</v>
      </c>
      <c r="E119" s="34">
        <f t="shared" si="24"/>
        <v>0</v>
      </c>
      <c r="F119" s="34">
        <f t="shared" si="24"/>
        <v>0</v>
      </c>
    </row>
    <row r="120" ht="15.0" customHeight="1">
      <c r="A120" s="67" t="s">
        <v>157</v>
      </c>
      <c r="B120" s="68" t="s">
        <v>58</v>
      </c>
      <c r="C120" s="69"/>
      <c r="D120" s="69"/>
      <c r="E120" s="69"/>
      <c r="F120" s="69"/>
    </row>
    <row r="121" ht="30.0" customHeight="1">
      <c r="A121" s="70"/>
      <c r="B121" s="71" t="s">
        <v>158</v>
      </c>
      <c r="C121" s="25"/>
      <c r="D121" s="26"/>
      <c r="E121" s="26"/>
      <c r="F121" s="26"/>
    </row>
    <row r="122" ht="30.0" customHeight="1">
      <c r="A122" s="70"/>
      <c r="B122" s="71" t="s">
        <v>159</v>
      </c>
      <c r="C122" s="25"/>
      <c r="D122" s="26"/>
      <c r="E122" s="26"/>
      <c r="F122" s="26"/>
    </row>
    <row r="123" ht="30.0" customHeight="1">
      <c r="A123" s="70"/>
      <c r="B123" s="71" t="s">
        <v>160</v>
      </c>
      <c r="C123" s="25"/>
      <c r="D123" s="26"/>
      <c r="E123" s="26"/>
      <c r="F123" s="26"/>
    </row>
    <row r="124" ht="15.0" customHeight="1">
      <c r="A124" s="74" t="s">
        <v>161</v>
      </c>
      <c r="B124" s="33" t="s">
        <v>63</v>
      </c>
      <c r="C124" s="34">
        <f t="shared" ref="C124:F124" si="25">SUM(C121:C123)/(COUNT(C121:C123)+COUNTBLANK(C121:C123))</f>
        <v>0</v>
      </c>
      <c r="D124" s="34">
        <f t="shared" si="25"/>
        <v>0</v>
      </c>
      <c r="E124" s="34">
        <f t="shared" si="25"/>
        <v>0</v>
      </c>
      <c r="F124" s="34">
        <f t="shared" si="25"/>
        <v>0</v>
      </c>
    </row>
    <row r="125" ht="19.5" customHeight="1">
      <c r="A125" s="66" t="s">
        <v>162</v>
      </c>
      <c r="B125" s="2"/>
      <c r="C125" s="75">
        <f>AVERAGE(C108,C113,C119,C124)</f>
        <v>0</v>
      </c>
      <c r="D125" s="75">
        <f t="shared" ref="D125:F125" si="26">SUM(D108,D113,D119,D124)</f>
        <v>0</v>
      </c>
      <c r="E125" s="75">
        <f t="shared" si="26"/>
        <v>0</v>
      </c>
      <c r="F125" s="75">
        <f t="shared" si="26"/>
        <v>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2">
    <mergeCell ref="A84:B84"/>
    <mergeCell ref="A86:F86"/>
    <mergeCell ref="A101:B101"/>
    <mergeCell ref="A103:F103"/>
    <mergeCell ref="A125:B125"/>
    <mergeCell ref="A1:F1"/>
    <mergeCell ref="A2:F2"/>
    <mergeCell ref="A7:F7"/>
    <mergeCell ref="A35:B35"/>
    <mergeCell ref="A37:F37"/>
    <mergeCell ref="A64:B64"/>
    <mergeCell ref="A66:F66"/>
  </mergeCells>
  <conditionalFormatting sqref="C1:F976">
    <cfRule type="cellIs" dxfId="0" priority="1" operator="equal">
      <formula>1</formula>
    </cfRule>
  </conditionalFormatting>
  <conditionalFormatting sqref="C1:F976">
    <cfRule type="cellIs" dxfId="1" priority="2" operator="equal">
      <formula>0</formula>
    </cfRule>
  </conditionalFormatting>
  <dataValidations>
    <dataValidation type="decimal" allowBlank="1" showInputMessage="1" showErrorMessage="1" prompt="Invalid Input - Enter 1 (criterion met) or 0 (not met). Leave blank if unknown." sqref="C9:F12 C16:F17 C18 C21:F23 C26:F28 C31:F33 C39:F41 C44:F47 C50:F52 C55:F57 C60:F62 C68:F70 C73:F74 C77:F78 C81:F82 C88:F90 C93:F94 C97:F99 C105:F107 C110:F112 C115:F118 C121:F123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4.0"/>
    <col customWidth="1" min="2" max="2" width="58.0"/>
    <col customWidth="1" min="3" max="6" width="42.0"/>
    <col customWidth="1" min="7" max="26" width="8.71"/>
  </cols>
  <sheetData>
    <row r="1" ht="30.0" customHeight="1">
      <c r="A1" s="10" t="s">
        <v>163</v>
      </c>
      <c r="B1" s="11"/>
      <c r="C1" s="11"/>
      <c r="D1" s="11"/>
      <c r="E1" s="11"/>
      <c r="F1" s="2"/>
    </row>
    <row r="2" ht="13.5" customHeight="1">
      <c r="A2" s="76" t="s">
        <v>164</v>
      </c>
      <c r="B2" s="11"/>
      <c r="C2" s="11"/>
      <c r="D2" s="11"/>
      <c r="E2" s="11"/>
      <c r="F2" s="2"/>
    </row>
    <row r="4" ht="18.0" customHeight="1">
      <c r="A4" s="13" t="s">
        <v>33</v>
      </c>
      <c r="B4" s="13" t="s">
        <v>34</v>
      </c>
      <c r="C4" s="13" t="s">
        <v>165</v>
      </c>
      <c r="D4" s="13" t="s">
        <v>166</v>
      </c>
      <c r="E4" s="13" t="s">
        <v>167</v>
      </c>
      <c r="F4" s="13" t="s">
        <v>168</v>
      </c>
    </row>
    <row r="5" ht="18.0" customHeight="1">
      <c r="A5" s="19" t="s">
        <v>169</v>
      </c>
      <c r="B5" s="11"/>
      <c r="C5" s="11"/>
      <c r="D5" s="11"/>
      <c r="E5" s="11"/>
      <c r="F5" s="2"/>
    </row>
    <row r="6" ht="15.0" customHeight="1">
      <c r="A6" s="20" t="s">
        <v>41</v>
      </c>
      <c r="B6" s="77"/>
      <c r="C6" s="22"/>
      <c r="D6" s="22"/>
      <c r="E6" s="22"/>
      <c r="F6" s="22"/>
    </row>
    <row r="7" ht="45.0" customHeight="1">
      <c r="A7" s="23"/>
      <c r="B7" s="35" t="s">
        <v>43</v>
      </c>
      <c r="C7" s="78"/>
      <c r="D7" s="79"/>
      <c r="E7" s="79"/>
      <c r="F7" s="79"/>
    </row>
    <row r="8">
      <c r="A8" s="23"/>
      <c r="B8" s="35" t="s">
        <v>44</v>
      </c>
      <c r="C8" s="80"/>
      <c r="D8" s="79"/>
      <c r="E8" s="79"/>
      <c r="F8" s="79"/>
    </row>
    <row r="9">
      <c r="A9" s="23"/>
      <c r="B9" s="35" t="s">
        <v>45</v>
      </c>
      <c r="C9" s="81"/>
      <c r="D9" s="79"/>
      <c r="E9" s="79"/>
      <c r="F9" s="79"/>
    </row>
    <row r="10" ht="45.0" customHeight="1">
      <c r="A10" s="23"/>
      <c r="B10" s="35" t="s">
        <v>46</v>
      </c>
      <c r="C10" s="78"/>
      <c r="D10" s="79"/>
      <c r="E10" s="79"/>
      <c r="F10" s="79"/>
    </row>
    <row r="11">
      <c r="A11" s="82"/>
      <c r="B11" s="29" t="s">
        <v>47</v>
      </c>
      <c r="C11" s="83"/>
      <c r="D11" s="84"/>
      <c r="E11" s="84"/>
      <c r="F11" s="84"/>
    </row>
    <row r="12" ht="15.0" customHeight="1">
      <c r="A12" s="20" t="s">
        <v>50</v>
      </c>
      <c r="B12" s="77"/>
      <c r="C12" s="22"/>
      <c r="D12" s="22"/>
      <c r="E12" s="22"/>
      <c r="F12" s="22"/>
    </row>
    <row r="13">
      <c r="A13" s="23"/>
      <c r="B13" s="35" t="s">
        <v>52</v>
      </c>
      <c r="C13" s="85"/>
      <c r="D13" s="79"/>
      <c r="E13" s="79"/>
      <c r="F13" s="79"/>
    </row>
    <row r="14" ht="45.0" customHeight="1">
      <c r="A14" s="23"/>
      <c r="B14" s="35" t="s">
        <v>53</v>
      </c>
      <c r="C14" s="86"/>
      <c r="D14" s="79"/>
      <c r="E14" s="79"/>
      <c r="F14" s="79"/>
    </row>
    <row r="15" ht="45.0" customHeight="1">
      <c r="A15" s="23"/>
      <c r="B15" s="35" t="s">
        <v>54</v>
      </c>
      <c r="C15" s="85"/>
      <c r="D15" s="79"/>
      <c r="E15" s="79"/>
      <c r="F15" s="79"/>
    </row>
    <row r="16" ht="15.0" customHeight="1">
      <c r="A16" s="20" t="s">
        <v>57</v>
      </c>
      <c r="B16" s="77"/>
      <c r="C16" s="22"/>
      <c r="D16" s="22"/>
      <c r="E16" s="22"/>
      <c r="F16" s="22"/>
    </row>
    <row r="17" ht="45.0" customHeight="1">
      <c r="A17" s="23"/>
      <c r="B17" s="35" t="s">
        <v>59</v>
      </c>
      <c r="C17" s="85"/>
      <c r="D17" s="79"/>
      <c r="E17" s="79"/>
      <c r="F17" s="79"/>
    </row>
    <row r="18" ht="45.0" customHeight="1">
      <c r="A18" s="23"/>
      <c r="B18" s="35" t="s">
        <v>60</v>
      </c>
      <c r="C18" s="78"/>
      <c r="D18" s="79"/>
      <c r="E18" s="79"/>
      <c r="F18" s="79"/>
    </row>
    <row r="19" ht="45.0" customHeight="1">
      <c r="A19" s="23"/>
      <c r="B19" s="35" t="s">
        <v>61</v>
      </c>
      <c r="C19" s="78"/>
      <c r="D19" s="79"/>
      <c r="E19" s="79"/>
      <c r="F19" s="79"/>
    </row>
    <row r="20" ht="15.0" customHeight="1">
      <c r="A20" s="20" t="s">
        <v>64</v>
      </c>
      <c r="B20" s="77"/>
      <c r="C20" s="22"/>
      <c r="D20" s="22"/>
      <c r="E20" s="22"/>
      <c r="F20" s="22"/>
    </row>
    <row r="21" ht="45.0" customHeight="1">
      <c r="A21" s="23"/>
      <c r="B21" s="35" t="s">
        <v>65</v>
      </c>
      <c r="C21" s="78"/>
      <c r="D21" s="79"/>
      <c r="E21" s="79"/>
      <c r="F21" s="79"/>
    </row>
    <row r="22" ht="45.0" customHeight="1">
      <c r="A22" s="23"/>
      <c r="B22" s="35" t="s">
        <v>66</v>
      </c>
      <c r="C22" s="78"/>
      <c r="D22" s="79"/>
      <c r="E22" s="79"/>
      <c r="F22" s="79"/>
    </row>
    <row r="23" ht="45.0" customHeight="1">
      <c r="A23" s="23"/>
      <c r="B23" s="35" t="s">
        <v>67</v>
      </c>
      <c r="C23" s="85"/>
      <c r="D23" s="79"/>
      <c r="E23" s="79"/>
      <c r="F23" s="79"/>
    </row>
    <row r="24" ht="15.0" customHeight="1">
      <c r="A24" s="20" t="s">
        <v>69</v>
      </c>
      <c r="B24" s="77"/>
      <c r="C24" s="22"/>
      <c r="D24" s="22"/>
      <c r="E24" s="22"/>
      <c r="F24" s="22"/>
    </row>
    <row r="25" ht="45.0" customHeight="1">
      <c r="A25" s="23"/>
      <c r="B25" s="35" t="s">
        <v>70</v>
      </c>
      <c r="C25" s="86"/>
      <c r="D25" s="79"/>
      <c r="E25" s="79"/>
      <c r="F25" s="79"/>
    </row>
    <row r="26" ht="45.0" customHeight="1">
      <c r="A26" s="23"/>
      <c r="B26" s="35" t="s">
        <v>71</v>
      </c>
      <c r="C26" s="87"/>
      <c r="D26" s="79"/>
      <c r="E26" s="79"/>
      <c r="F26" s="79"/>
    </row>
    <row r="27" ht="45.0" customHeight="1">
      <c r="A27" s="23"/>
      <c r="B27" s="35" t="s">
        <v>72</v>
      </c>
      <c r="C27" s="86"/>
      <c r="D27" s="79"/>
      <c r="E27" s="79"/>
      <c r="F27" s="79"/>
    </row>
    <row r="28" ht="15.75" customHeight="1"/>
    <row r="29" ht="18.0" customHeight="1">
      <c r="A29" s="40" t="s">
        <v>170</v>
      </c>
      <c r="B29" s="11"/>
      <c r="C29" s="11"/>
      <c r="D29" s="11"/>
      <c r="E29" s="11"/>
      <c r="F29" s="2"/>
    </row>
    <row r="30" ht="15.0" customHeight="1">
      <c r="A30" s="41" t="s">
        <v>76</v>
      </c>
      <c r="B30" s="88"/>
      <c r="C30" s="43"/>
      <c r="D30" s="43"/>
      <c r="E30" s="43"/>
      <c r="F30" s="43"/>
    </row>
    <row r="31" ht="45.0" customHeight="1">
      <c r="A31" s="44"/>
      <c r="B31" s="89" t="s">
        <v>77</v>
      </c>
      <c r="C31" s="85"/>
      <c r="D31" s="79"/>
      <c r="E31" s="79"/>
      <c r="F31" s="79"/>
    </row>
    <row r="32" ht="45.0" customHeight="1">
      <c r="A32" s="44"/>
      <c r="B32" s="89" t="s">
        <v>78</v>
      </c>
      <c r="C32" s="86"/>
      <c r="D32" s="79"/>
      <c r="E32" s="79"/>
      <c r="F32" s="79"/>
    </row>
    <row r="33" ht="45.0" customHeight="1">
      <c r="A33" s="44"/>
      <c r="B33" s="89" t="s">
        <v>79</v>
      </c>
      <c r="C33" s="85"/>
      <c r="D33" s="79"/>
      <c r="E33" s="79"/>
      <c r="F33" s="79"/>
    </row>
    <row r="34" ht="15.0" customHeight="1">
      <c r="A34" s="41" t="s">
        <v>81</v>
      </c>
      <c r="B34" s="88"/>
      <c r="C34" s="43"/>
      <c r="D34" s="43"/>
      <c r="E34" s="43"/>
      <c r="F34" s="43"/>
    </row>
    <row r="35" ht="45.0" customHeight="1">
      <c r="A35" s="44"/>
      <c r="B35" s="89" t="s">
        <v>83</v>
      </c>
      <c r="C35" s="85"/>
      <c r="D35" s="79"/>
      <c r="E35" s="79"/>
      <c r="F35" s="79"/>
    </row>
    <row r="36" ht="45.0" customHeight="1">
      <c r="A36" s="44"/>
      <c r="B36" s="89" t="s">
        <v>84</v>
      </c>
      <c r="C36" s="85"/>
      <c r="D36" s="79"/>
      <c r="E36" s="79"/>
      <c r="F36" s="79"/>
    </row>
    <row r="37" ht="45.0" customHeight="1">
      <c r="A37" s="44"/>
      <c r="B37" s="89" t="s">
        <v>85</v>
      </c>
      <c r="C37" s="90"/>
      <c r="D37" s="79"/>
      <c r="E37" s="79"/>
      <c r="F37" s="79"/>
    </row>
    <row r="38" ht="45.0" customHeight="1">
      <c r="A38" s="44"/>
      <c r="B38" s="89" t="s">
        <v>86</v>
      </c>
      <c r="C38" s="78"/>
      <c r="D38" s="79"/>
      <c r="E38" s="79"/>
      <c r="F38" s="79"/>
    </row>
    <row r="39" ht="15.0" customHeight="1">
      <c r="A39" s="41" t="s">
        <v>89</v>
      </c>
      <c r="B39" s="88"/>
      <c r="C39" s="43"/>
      <c r="D39" s="43"/>
      <c r="E39" s="43"/>
      <c r="F39" s="43"/>
    </row>
    <row r="40" ht="45.0" customHeight="1">
      <c r="A40" s="44"/>
      <c r="B40" s="89" t="s">
        <v>90</v>
      </c>
      <c r="C40" s="85"/>
      <c r="D40" s="79"/>
      <c r="E40" s="79"/>
      <c r="F40" s="79"/>
    </row>
    <row r="41" ht="45.0" customHeight="1">
      <c r="A41" s="44"/>
      <c r="B41" s="89" t="s">
        <v>91</v>
      </c>
      <c r="C41" s="78"/>
      <c r="D41" s="79"/>
      <c r="E41" s="79"/>
      <c r="F41" s="79"/>
    </row>
    <row r="42" ht="45.0" customHeight="1">
      <c r="A42" s="44"/>
      <c r="B42" s="89" t="s">
        <v>92</v>
      </c>
      <c r="C42" s="85"/>
      <c r="D42" s="79"/>
      <c r="E42" s="79"/>
      <c r="F42" s="79"/>
    </row>
    <row r="43" ht="15.0" customHeight="1">
      <c r="A43" s="41" t="s">
        <v>94</v>
      </c>
      <c r="B43" s="88"/>
      <c r="C43" s="43"/>
      <c r="D43" s="43"/>
      <c r="E43" s="43"/>
      <c r="F43" s="43"/>
    </row>
    <row r="44" ht="45.0" customHeight="1">
      <c r="A44" s="44"/>
      <c r="B44" s="89" t="s">
        <v>95</v>
      </c>
      <c r="C44" s="85"/>
      <c r="D44" s="79"/>
      <c r="E44" s="79"/>
      <c r="F44" s="79"/>
    </row>
    <row r="45" ht="45.0" customHeight="1">
      <c r="A45" s="44"/>
      <c r="B45" s="89" t="s">
        <v>96</v>
      </c>
      <c r="C45" s="86"/>
      <c r="D45" s="79"/>
      <c r="E45" s="79"/>
      <c r="F45" s="79"/>
    </row>
    <row r="46" ht="45.0" customHeight="1">
      <c r="A46" s="44"/>
      <c r="B46" s="89" t="s">
        <v>97</v>
      </c>
      <c r="C46" s="86"/>
      <c r="D46" s="79"/>
      <c r="E46" s="79"/>
      <c r="F46" s="79"/>
    </row>
    <row r="47" ht="15.0" customHeight="1">
      <c r="A47" s="41" t="s">
        <v>99</v>
      </c>
      <c r="B47" s="88"/>
      <c r="C47" s="43"/>
      <c r="D47" s="43"/>
      <c r="E47" s="43"/>
      <c r="F47" s="43"/>
    </row>
    <row r="48" ht="45.0" customHeight="1">
      <c r="A48" s="44"/>
      <c r="B48" s="89" t="s">
        <v>100</v>
      </c>
      <c r="C48" s="91"/>
      <c r="D48" s="79"/>
      <c r="E48" s="79"/>
      <c r="F48" s="79"/>
    </row>
    <row r="49" ht="45.0" customHeight="1">
      <c r="A49" s="44"/>
      <c r="B49" s="89" t="s">
        <v>101</v>
      </c>
      <c r="C49" s="85"/>
      <c r="D49" s="79"/>
      <c r="E49" s="79"/>
      <c r="F49" s="79"/>
    </row>
    <row r="50" ht="45.0" customHeight="1">
      <c r="A50" s="44"/>
      <c r="B50" s="89" t="s">
        <v>171</v>
      </c>
      <c r="C50" s="85"/>
      <c r="D50" s="79"/>
      <c r="E50" s="79"/>
      <c r="F50" s="79"/>
    </row>
    <row r="51" ht="15.75" customHeight="1"/>
    <row r="52" ht="18.0" customHeight="1">
      <c r="A52" s="49" t="s">
        <v>172</v>
      </c>
      <c r="B52" s="11"/>
      <c r="C52" s="11"/>
      <c r="D52" s="11"/>
      <c r="E52" s="11"/>
      <c r="F52" s="2"/>
    </row>
    <row r="53" ht="15.0" customHeight="1">
      <c r="A53" s="50" t="s">
        <v>106</v>
      </c>
      <c r="B53" s="92"/>
      <c r="C53" s="52"/>
      <c r="D53" s="52"/>
      <c r="E53" s="52"/>
      <c r="F53" s="52"/>
    </row>
    <row r="54" ht="45.0" customHeight="1">
      <c r="A54" s="53"/>
      <c r="B54" s="93" t="s">
        <v>107</v>
      </c>
      <c r="C54" s="85"/>
      <c r="D54" s="79"/>
      <c r="E54" s="79"/>
      <c r="F54" s="79"/>
    </row>
    <row r="55" ht="45.0" customHeight="1">
      <c r="A55" s="53"/>
      <c r="B55" s="94" t="s">
        <v>108</v>
      </c>
      <c r="C55" s="78"/>
      <c r="D55" s="79"/>
      <c r="E55" s="79"/>
      <c r="F55" s="79"/>
    </row>
    <row r="56" ht="45.0" customHeight="1">
      <c r="A56" s="53"/>
      <c r="B56" s="94" t="s">
        <v>109</v>
      </c>
      <c r="C56" s="85"/>
      <c r="D56" s="79"/>
      <c r="E56" s="79"/>
      <c r="F56" s="79"/>
    </row>
    <row r="57" ht="15.0" customHeight="1">
      <c r="A57" s="50" t="s">
        <v>111</v>
      </c>
      <c r="B57" s="92"/>
      <c r="C57" s="52"/>
      <c r="D57" s="52"/>
      <c r="E57" s="52"/>
      <c r="F57" s="52"/>
    </row>
    <row r="58" ht="45.0" customHeight="1">
      <c r="A58" s="53"/>
      <c r="B58" s="94" t="s">
        <v>112</v>
      </c>
      <c r="C58" s="78"/>
      <c r="D58" s="79"/>
      <c r="E58" s="79"/>
      <c r="F58" s="79"/>
    </row>
    <row r="59" ht="45.0" customHeight="1">
      <c r="A59" s="53"/>
      <c r="B59" s="94" t="s">
        <v>113</v>
      </c>
      <c r="C59" s="78"/>
      <c r="D59" s="79"/>
      <c r="E59" s="79"/>
      <c r="F59" s="79"/>
    </row>
    <row r="60" ht="15.0" customHeight="1">
      <c r="A60" s="56" t="s">
        <v>115</v>
      </c>
      <c r="B60" s="92"/>
      <c r="C60" s="52"/>
      <c r="D60" s="52"/>
      <c r="E60" s="52"/>
      <c r="F60" s="52"/>
    </row>
    <row r="61" ht="45.0" customHeight="1">
      <c r="A61" s="53"/>
      <c r="B61" s="94" t="s">
        <v>116</v>
      </c>
      <c r="C61" s="78"/>
      <c r="D61" s="79"/>
      <c r="E61" s="79"/>
      <c r="F61" s="79"/>
    </row>
    <row r="62" ht="45.0" customHeight="1">
      <c r="A62" s="53"/>
      <c r="B62" s="94" t="s">
        <v>117</v>
      </c>
      <c r="C62" s="85"/>
      <c r="D62" s="79"/>
      <c r="E62" s="79"/>
      <c r="F62" s="79"/>
    </row>
    <row r="63" ht="15.0" customHeight="1">
      <c r="A63" s="50" t="s">
        <v>119</v>
      </c>
      <c r="B63" s="92"/>
      <c r="C63" s="52"/>
      <c r="D63" s="52"/>
      <c r="E63" s="52"/>
      <c r="F63" s="52"/>
    </row>
    <row r="64" ht="45.0" customHeight="1">
      <c r="A64" s="53"/>
      <c r="B64" s="94" t="s">
        <v>120</v>
      </c>
      <c r="C64" s="78"/>
      <c r="D64" s="79"/>
      <c r="E64" s="79"/>
      <c r="F64" s="79"/>
    </row>
    <row r="65" ht="45.0" customHeight="1">
      <c r="A65" s="53"/>
      <c r="B65" s="94" t="s">
        <v>121</v>
      </c>
      <c r="C65" s="85"/>
      <c r="D65" s="79"/>
      <c r="E65" s="79"/>
      <c r="F65" s="79"/>
    </row>
    <row r="66" ht="15.75" customHeight="1"/>
    <row r="67" ht="18.0" customHeight="1">
      <c r="A67" s="58" t="s">
        <v>173</v>
      </c>
      <c r="B67" s="11"/>
      <c r="C67" s="11"/>
      <c r="D67" s="11"/>
      <c r="E67" s="11"/>
      <c r="F67" s="2"/>
    </row>
    <row r="68" ht="15.0" customHeight="1">
      <c r="A68" s="59" t="s">
        <v>125</v>
      </c>
      <c r="B68" s="95"/>
      <c r="C68" s="61"/>
      <c r="D68" s="61"/>
      <c r="E68" s="61"/>
      <c r="F68" s="61"/>
    </row>
    <row r="69" ht="45.0" customHeight="1">
      <c r="A69" s="62"/>
      <c r="B69" s="96" t="s">
        <v>126</v>
      </c>
      <c r="C69" s="85"/>
      <c r="D69" s="79"/>
      <c r="E69" s="79"/>
      <c r="F69" s="79"/>
    </row>
    <row r="70" ht="45.0" customHeight="1">
      <c r="A70" s="62"/>
      <c r="B70" s="96" t="s">
        <v>127</v>
      </c>
      <c r="C70" s="78"/>
      <c r="D70" s="79"/>
      <c r="E70" s="79"/>
      <c r="F70" s="79"/>
    </row>
    <row r="71" ht="45.0" customHeight="1">
      <c r="A71" s="62"/>
      <c r="B71" s="96" t="s">
        <v>128</v>
      </c>
      <c r="C71" s="85"/>
      <c r="D71" s="79"/>
      <c r="E71" s="79"/>
      <c r="F71" s="79"/>
    </row>
    <row r="72" ht="15.0" customHeight="1">
      <c r="A72" s="59" t="s">
        <v>130</v>
      </c>
      <c r="B72" s="95"/>
      <c r="C72" s="97"/>
      <c r="D72" s="61"/>
      <c r="E72" s="61"/>
      <c r="F72" s="61"/>
    </row>
    <row r="73" ht="45.0" customHeight="1">
      <c r="A73" s="62"/>
      <c r="B73" s="98" t="s">
        <v>174</v>
      </c>
      <c r="C73" s="85"/>
      <c r="D73" s="79"/>
      <c r="E73" s="79"/>
      <c r="F73" s="79"/>
    </row>
    <row r="74" ht="45.0" customHeight="1">
      <c r="A74" s="62"/>
      <c r="B74" s="96" t="s">
        <v>132</v>
      </c>
      <c r="C74" s="85"/>
      <c r="D74" s="79"/>
      <c r="E74" s="79"/>
      <c r="F74" s="79"/>
    </row>
    <row r="75" ht="15.0" customHeight="1">
      <c r="A75" s="59" t="s">
        <v>134</v>
      </c>
      <c r="B75" s="95"/>
      <c r="C75" s="61"/>
      <c r="D75" s="61"/>
      <c r="E75" s="61"/>
      <c r="F75" s="61"/>
    </row>
    <row r="76" ht="45.0" customHeight="1">
      <c r="A76" s="62"/>
      <c r="B76" s="63" t="s">
        <v>135</v>
      </c>
      <c r="C76" s="85"/>
      <c r="D76" s="79"/>
      <c r="E76" s="79"/>
      <c r="F76" s="79"/>
    </row>
    <row r="77" ht="45.0" customHeight="1">
      <c r="A77" s="62"/>
      <c r="B77" s="64" t="s">
        <v>136</v>
      </c>
      <c r="C77" s="85"/>
      <c r="D77" s="79"/>
      <c r="E77" s="79"/>
      <c r="F77" s="79"/>
    </row>
    <row r="78" ht="45.0" customHeight="1">
      <c r="A78" s="62"/>
      <c r="B78" s="64" t="s">
        <v>137</v>
      </c>
      <c r="C78" s="85"/>
      <c r="D78" s="79"/>
      <c r="E78" s="79"/>
      <c r="F78" s="79"/>
    </row>
    <row r="79" ht="15.75" customHeight="1"/>
    <row r="80" ht="18.0" customHeight="1">
      <c r="A80" s="66" t="s">
        <v>175</v>
      </c>
      <c r="B80" s="11"/>
      <c r="C80" s="11"/>
      <c r="D80" s="11"/>
      <c r="E80" s="11"/>
      <c r="F80" s="2"/>
    </row>
    <row r="81" ht="15.0" customHeight="1">
      <c r="A81" s="67" t="s">
        <v>141</v>
      </c>
      <c r="B81" s="99"/>
      <c r="C81" s="69"/>
      <c r="D81" s="69"/>
      <c r="E81" s="69"/>
      <c r="F81" s="69"/>
    </row>
    <row r="82" ht="45.0" customHeight="1">
      <c r="A82" s="70"/>
      <c r="B82" s="100" t="s">
        <v>142</v>
      </c>
      <c r="C82" s="78"/>
      <c r="D82" s="79"/>
      <c r="E82" s="79"/>
      <c r="F82" s="79"/>
    </row>
    <row r="83" ht="45.0" customHeight="1">
      <c r="A83" s="70"/>
      <c r="B83" s="101" t="s">
        <v>143</v>
      </c>
      <c r="C83" s="102"/>
      <c r="D83" s="79"/>
      <c r="E83" s="79"/>
      <c r="F83" s="79"/>
    </row>
    <row r="84" ht="45.0" customHeight="1">
      <c r="A84" s="70"/>
      <c r="B84" s="100" t="s">
        <v>144</v>
      </c>
      <c r="C84" s="85"/>
      <c r="D84" s="79"/>
      <c r="E84" s="79"/>
      <c r="F84" s="79"/>
    </row>
    <row r="85" ht="15.0" customHeight="1">
      <c r="A85" s="67" t="s">
        <v>146</v>
      </c>
      <c r="B85" s="99"/>
      <c r="C85" s="103"/>
      <c r="D85" s="69"/>
      <c r="E85" s="69"/>
      <c r="F85" s="69"/>
    </row>
    <row r="86" ht="45.0" customHeight="1">
      <c r="A86" s="70"/>
      <c r="B86" s="100" t="s">
        <v>147</v>
      </c>
      <c r="C86" s="78"/>
      <c r="D86" s="79"/>
      <c r="E86" s="79"/>
      <c r="F86" s="79"/>
    </row>
    <row r="87" ht="45.0" customHeight="1">
      <c r="A87" s="70"/>
      <c r="B87" s="101" t="s">
        <v>148</v>
      </c>
      <c r="C87" s="85"/>
      <c r="D87" s="79"/>
      <c r="E87" s="79"/>
      <c r="F87" s="79"/>
    </row>
    <row r="88" ht="45.0" customHeight="1">
      <c r="A88" s="70"/>
      <c r="B88" s="100" t="s">
        <v>149</v>
      </c>
      <c r="C88" s="85"/>
      <c r="D88" s="79"/>
      <c r="E88" s="79"/>
      <c r="F88" s="79"/>
    </row>
    <row r="89" ht="15.0" customHeight="1">
      <c r="A89" s="67" t="s">
        <v>151</v>
      </c>
      <c r="B89" s="99"/>
      <c r="C89" s="69"/>
      <c r="D89" s="69"/>
      <c r="E89" s="69"/>
      <c r="F89" s="69"/>
    </row>
    <row r="90" ht="45.0" customHeight="1">
      <c r="A90" s="70"/>
      <c r="B90" s="100" t="s">
        <v>152</v>
      </c>
      <c r="C90" s="78"/>
      <c r="D90" s="79"/>
      <c r="E90" s="79"/>
      <c r="F90" s="79"/>
    </row>
    <row r="91" ht="45.0" customHeight="1">
      <c r="A91" s="70"/>
      <c r="B91" s="100" t="s">
        <v>153</v>
      </c>
      <c r="C91" s="78"/>
      <c r="D91" s="79"/>
      <c r="E91" s="79"/>
      <c r="F91" s="79"/>
    </row>
    <row r="92" ht="45.0" customHeight="1">
      <c r="A92" s="70"/>
      <c r="B92" s="100" t="s">
        <v>176</v>
      </c>
      <c r="C92" s="78"/>
      <c r="D92" s="79"/>
      <c r="E92" s="79"/>
      <c r="F92" s="79"/>
    </row>
    <row r="93" ht="45.0" customHeight="1">
      <c r="A93" s="70"/>
      <c r="B93" s="100" t="s">
        <v>177</v>
      </c>
      <c r="C93" s="78"/>
      <c r="D93" s="79"/>
      <c r="E93" s="79"/>
      <c r="F93" s="79"/>
    </row>
    <row r="94" ht="15.0" customHeight="1">
      <c r="A94" s="67" t="s">
        <v>157</v>
      </c>
      <c r="B94" s="99"/>
      <c r="C94" s="69"/>
      <c r="D94" s="69"/>
      <c r="E94" s="69"/>
      <c r="F94" s="69"/>
    </row>
    <row r="95" ht="45.0" customHeight="1">
      <c r="A95" s="70"/>
      <c r="B95" s="100" t="s">
        <v>158</v>
      </c>
      <c r="C95" s="102"/>
      <c r="D95" s="79"/>
      <c r="E95" s="79"/>
      <c r="F95" s="79"/>
    </row>
    <row r="96" ht="45.0" customHeight="1">
      <c r="A96" s="70"/>
      <c r="B96" s="100" t="s">
        <v>159</v>
      </c>
      <c r="C96" s="78"/>
      <c r="D96" s="79"/>
      <c r="E96" s="79"/>
      <c r="F96" s="79"/>
    </row>
    <row r="97" ht="45.0" customHeight="1">
      <c r="A97" s="70"/>
      <c r="B97" s="100" t="s">
        <v>160</v>
      </c>
      <c r="C97" s="78"/>
      <c r="D97" s="79"/>
      <c r="E97" s="79"/>
      <c r="F97" s="79"/>
    </row>
    <row r="98" ht="15.0" customHeight="1">
      <c r="A98" s="104"/>
      <c r="B98" s="105"/>
      <c r="C98" s="9"/>
      <c r="D98" s="9"/>
      <c r="E98" s="9"/>
      <c r="F98" s="9"/>
    </row>
    <row r="99" ht="45.0" customHeight="1">
      <c r="A99" s="106"/>
      <c r="B99" s="107"/>
      <c r="C99" s="108"/>
      <c r="D99" s="108"/>
      <c r="E99" s="108"/>
      <c r="F99" s="108"/>
    </row>
    <row r="100" ht="45.0" customHeight="1">
      <c r="A100" s="106"/>
      <c r="B100" s="107"/>
      <c r="C100" s="108"/>
      <c r="D100" s="108"/>
      <c r="E100" s="108"/>
      <c r="F100" s="108"/>
    </row>
    <row r="101" ht="45.0" customHeight="1">
      <c r="A101" s="106"/>
      <c r="B101" s="107"/>
      <c r="C101" s="108"/>
      <c r="D101" s="108"/>
      <c r="E101" s="108"/>
      <c r="F101" s="108"/>
    </row>
    <row r="102" ht="45.0" customHeight="1">
      <c r="A102" s="106"/>
      <c r="B102" s="107"/>
      <c r="C102" s="108"/>
      <c r="D102" s="108"/>
      <c r="E102" s="108"/>
      <c r="F102" s="10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7">
    <mergeCell ref="A1:F1"/>
    <mergeCell ref="A2:F2"/>
    <mergeCell ref="A5:F5"/>
    <mergeCell ref="A29:F29"/>
    <mergeCell ref="A52:F52"/>
    <mergeCell ref="A67:F67"/>
    <mergeCell ref="A80:F8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5" width="18.0"/>
    <col customWidth="1" min="6" max="6" width="10.0"/>
    <col customWidth="1" min="7" max="26" width="8.71"/>
  </cols>
  <sheetData>
    <row r="1" ht="30.0" customHeight="1">
      <c r="A1" s="10" t="s">
        <v>178</v>
      </c>
      <c r="B1" s="11"/>
      <c r="C1" s="11"/>
      <c r="D1" s="11"/>
      <c r="E1" s="11"/>
      <c r="F1" s="2"/>
    </row>
    <row r="3" ht="19.5" customHeight="1">
      <c r="A3" s="109" t="s">
        <v>179</v>
      </c>
      <c r="B3" s="11"/>
      <c r="C3" s="11"/>
      <c r="D3" s="11"/>
      <c r="E3" s="11"/>
      <c r="F3" s="2"/>
    </row>
    <row r="4" ht="18.0" customHeight="1">
      <c r="A4" s="110"/>
      <c r="B4" s="111" t="str">
        <f>Scoring!C5</f>
        <v>Nation 1</v>
      </c>
      <c r="C4" s="111" t="str">
        <f>Scoring!D5</f>
        <v>Nation 2</v>
      </c>
      <c r="D4" s="111" t="str">
        <f>Scoring!E5</f>
        <v>Nation 3</v>
      </c>
      <c r="E4" s="111" t="str">
        <f>Scoring!F5</f>
        <v>Nation 4</v>
      </c>
      <c r="F4" s="112" t="s">
        <v>180</v>
      </c>
    </row>
    <row r="5" ht="18.0" customHeight="1">
      <c r="A5" s="113" t="s">
        <v>181</v>
      </c>
      <c r="B5" s="39">
        <f>Scoring!C35</f>
        <v>0</v>
      </c>
      <c r="C5" s="39">
        <f>Scoring!D35</f>
        <v>0</v>
      </c>
      <c r="D5" s="39">
        <f>Scoring!E35</f>
        <v>0</v>
      </c>
      <c r="E5" s="39">
        <f>Scoring!F35</f>
        <v>0</v>
      </c>
      <c r="F5" s="112" t="s">
        <v>182</v>
      </c>
    </row>
    <row r="6" ht="18.0" customHeight="1">
      <c r="A6" s="114" t="s">
        <v>183</v>
      </c>
      <c r="B6" s="48">
        <f>Scoring!C64</f>
        <v>0</v>
      </c>
      <c r="C6" s="48">
        <f>Scoring!D64</f>
        <v>0</v>
      </c>
      <c r="D6" s="48">
        <f>Scoring!E64</f>
        <v>0</v>
      </c>
      <c r="E6" s="48">
        <f>Scoring!F64</f>
        <v>0</v>
      </c>
      <c r="F6" s="115" t="s">
        <v>184</v>
      </c>
    </row>
    <row r="7" ht="18.0" customHeight="1">
      <c r="A7" s="116" t="s">
        <v>185</v>
      </c>
      <c r="B7" s="57">
        <f>Scoring!C84</f>
        <v>0</v>
      </c>
      <c r="C7" s="57">
        <f>Scoring!D84</f>
        <v>0</v>
      </c>
      <c r="D7" s="57">
        <f>Scoring!E84</f>
        <v>0</v>
      </c>
      <c r="E7" s="57">
        <f>Scoring!F84</f>
        <v>0</v>
      </c>
      <c r="F7" s="117" t="s">
        <v>182</v>
      </c>
    </row>
    <row r="8" ht="18.0" customHeight="1">
      <c r="A8" s="118" t="s">
        <v>186</v>
      </c>
      <c r="B8" s="65">
        <f>Scoring!C101</f>
        <v>0</v>
      </c>
      <c r="C8" s="65">
        <f>Scoring!D101</f>
        <v>0</v>
      </c>
      <c r="D8" s="65">
        <f>Scoring!E101</f>
        <v>0</v>
      </c>
      <c r="E8" s="65">
        <f>Scoring!F101</f>
        <v>0</v>
      </c>
      <c r="F8" s="119" t="s">
        <v>187</v>
      </c>
    </row>
    <row r="9" ht="18.0" customHeight="1">
      <c r="A9" s="120" t="s">
        <v>188</v>
      </c>
      <c r="B9" s="121">
        <f>Scoring!C125</f>
        <v>0</v>
      </c>
      <c r="C9" s="121">
        <f>Scoring!D125</f>
        <v>0</v>
      </c>
      <c r="D9" s="121">
        <f>Scoring!E125</f>
        <v>0</v>
      </c>
      <c r="E9" s="121">
        <f>Scoring!F125</f>
        <v>0</v>
      </c>
      <c r="F9" s="122" t="s">
        <v>182</v>
      </c>
    </row>
    <row r="11" ht="25.5" customHeight="1">
      <c r="A11" s="123" t="s">
        <v>189</v>
      </c>
      <c r="B11" s="124">
        <f t="shared" ref="B11:E11" si="1">(B5*0.2+B6*0.25+B7*0.2+B8*0.15+B9*0.2)*100</f>
        <v>0</v>
      </c>
      <c r="C11" s="124">
        <f t="shared" si="1"/>
        <v>0</v>
      </c>
      <c r="D11" s="124">
        <f t="shared" si="1"/>
        <v>0</v>
      </c>
      <c r="E11" s="124">
        <f t="shared" si="1"/>
        <v>0</v>
      </c>
      <c r="F11" s="125" t="s">
        <v>190</v>
      </c>
    </row>
    <row r="14" ht="19.5" customHeight="1">
      <c r="A14" s="109" t="s">
        <v>191</v>
      </c>
      <c r="B14" s="11"/>
      <c r="C14" s="11"/>
      <c r="D14" s="11"/>
      <c r="E14" s="11"/>
      <c r="F14" s="2"/>
    </row>
    <row r="15" ht="18.0" customHeight="1">
      <c r="A15" s="110"/>
      <c r="B15" s="3" t="str">
        <f>Scoring!C5</f>
        <v>Nation 1</v>
      </c>
      <c r="C15" s="3" t="str">
        <f>Scoring!D5</f>
        <v>Nation 2</v>
      </c>
      <c r="D15" s="3" t="str">
        <f>Scoring!E5</f>
        <v>Nation 3</v>
      </c>
      <c r="E15" s="3" t="str">
        <f>Scoring!F5</f>
        <v>Nation 4</v>
      </c>
    </row>
    <row r="16" ht="15.75" customHeight="1">
      <c r="A16" s="126" t="s">
        <v>192</v>
      </c>
      <c r="B16" s="127"/>
      <c r="C16" s="127"/>
      <c r="D16" s="127"/>
      <c r="E16" s="127"/>
      <c r="F16" s="127"/>
    </row>
    <row r="17" ht="13.5" customHeight="1">
      <c r="A17" s="128" t="s">
        <v>193</v>
      </c>
      <c r="B17" s="129">
        <f>Scoring!C14</f>
        <v>0</v>
      </c>
      <c r="C17" s="129">
        <f>Scoring!D14</f>
        <v>0</v>
      </c>
      <c r="D17" s="129">
        <f>Scoring!E14</f>
        <v>0</v>
      </c>
      <c r="E17" s="129">
        <f>Scoring!F14</f>
        <v>0</v>
      </c>
    </row>
    <row r="18" ht="13.5" customHeight="1">
      <c r="A18" s="128" t="s">
        <v>194</v>
      </c>
      <c r="B18" s="129">
        <f>Scoring!C19</f>
        <v>0</v>
      </c>
      <c r="C18" s="129">
        <f>Scoring!D19</f>
        <v>0</v>
      </c>
      <c r="D18" s="129">
        <f>Scoring!E19</f>
        <v>0</v>
      </c>
      <c r="E18" s="129">
        <f>Scoring!F19</f>
        <v>0</v>
      </c>
    </row>
    <row r="19" ht="13.5" customHeight="1">
      <c r="A19" s="128" t="s">
        <v>195</v>
      </c>
      <c r="B19" s="129">
        <f>Scoring!C24</f>
        <v>0</v>
      </c>
      <c r="C19" s="129">
        <f>Scoring!D24</f>
        <v>0</v>
      </c>
      <c r="D19" s="129">
        <f>Scoring!E24</f>
        <v>0</v>
      </c>
      <c r="E19" s="129">
        <f>Scoring!F24</f>
        <v>0</v>
      </c>
    </row>
    <row r="20" ht="13.5" customHeight="1">
      <c r="A20" s="128" t="s">
        <v>196</v>
      </c>
      <c r="B20" s="129">
        <f>Scoring!C29</f>
        <v>0</v>
      </c>
      <c r="C20" s="129">
        <f>Scoring!D29</f>
        <v>0</v>
      </c>
      <c r="D20" s="129">
        <f>Scoring!E29</f>
        <v>0</v>
      </c>
      <c r="E20" s="129">
        <f>Scoring!F29</f>
        <v>0</v>
      </c>
    </row>
    <row r="21" ht="13.5" customHeight="1">
      <c r="A21" s="128" t="s">
        <v>197</v>
      </c>
      <c r="B21" s="129">
        <f>Scoring!C34</f>
        <v>0</v>
      </c>
      <c r="C21" s="129">
        <f>Scoring!D34</f>
        <v>0</v>
      </c>
      <c r="D21" s="129">
        <f>Scoring!E34</f>
        <v>0</v>
      </c>
      <c r="E21" s="129">
        <f>Scoring!F34</f>
        <v>0</v>
      </c>
    </row>
    <row r="22" ht="15.75" customHeight="1">
      <c r="A22" s="130" t="s">
        <v>198</v>
      </c>
      <c r="B22" s="131"/>
      <c r="C22" s="131"/>
      <c r="D22" s="131"/>
      <c r="E22" s="131"/>
      <c r="F22" s="131"/>
    </row>
    <row r="23" ht="13.5" customHeight="1">
      <c r="A23" s="132" t="s">
        <v>199</v>
      </c>
      <c r="B23" s="133">
        <f>Scoring!C42</f>
        <v>0</v>
      </c>
      <c r="C23" s="133">
        <f>Scoring!D42</f>
        <v>0</v>
      </c>
      <c r="D23" s="133">
        <f>Scoring!E42</f>
        <v>0</v>
      </c>
      <c r="E23" s="133">
        <f>Scoring!F42</f>
        <v>0</v>
      </c>
    </row>
    <row r="24" ht="13.5" customHeight="1">
      <c r="A24" s="132" t="s">
        <v>200</v>
      </c>
      <c r="B24" s="133">
        <f>Scoring!C48</f>
        <v>0</v>
      </c>
      <c r="C24" s="133">
        <f>Scoring!D48</f>
        <v>0</v>
      </c>
      <c r="D24" s="133">
        <f>Scoring!E48</f>
        <v>0</v>
      </c>
      <c r="E24" s="133">
        <f>Scoring!F48</f>
        <v>0</v>
      </c>
    </row>
    <row r="25" ht="13.5" customHeight="1">
      <c r="A25" s="132" t="s">
        <v>201</v>
      </c>
      <c r="B25" s="133">
        <f>Scoring!C53</f>
        <v>0</v>
      </c>
      <c r="C25" s="133">
        <f>Scoring!D53</f>
        <v>0</v>
      </c>
      <c r="D25" s="133">
        <f>Scoring!E53</f>
        <v>0</v>
      </c>
      <c r="E25" s="133">
        <f>Scoring!F53</f>
        <v>0</v>
      </c>
    </row>
    <row r="26" ht="13.5" customHeight="1">
      <c r="A26" s="132" t="s">
        <v>202</v>
      </c>
      <c r="B26" s="133">
        <f>Scoring!C58</f>
        <v>0</v>
      </c>
      <c r="C26" s="133">
        <f>Scoring!D58</f>
        <v>0</v>
      </c>
      <c r="D26" s="133">
        <f>Scoring!E58</f>
        <v>0</v>
      </c>
      <c r="E26" s="133">
        <f>Scoring!F58</f>
        <v>0</v>
      </c>
    </row>
    <row r="27" ht="13.5" customHeight="1">
      <c r="A27" s="132" t="s">
        <v>203</v>
      </c>
      <c r="B27" s="133">
        <f>Scoring!C63</f>
        <v>0</v>
      </c>
      <c r="C27" s="133">
        <f>Scoring!D63</f>
        <v>0</v>
      </c>
      <c r="D27" s="133">
        <f>Scoring!E63</f>
        <v>0</v>
      </c>
      <c r="E27" s="133">
        <f>Scoring!F63</f>
        <v>0</v>
      </c>
    </row>
    <row r="28" ht="15.75" customHeight="1">
      <c r="A28" s="134" t="s">
        <v>204</v>
      </c>
      <c r="B28" s="135"/>
      <c r="C28" s="135"/>
      <c r="D28" s="135"/>
      <c r="E28" s="135"/>
      <c r="F28" s="135"/>
    </row>
    <row r="29" ht="13.5" customHeight="1">
      <c r="A29" s="136" t="s">
        <v>205</v>
      </c>
      <c r="B29" s="137">
        <f>Scoring!C71</f>
        <v>0</v>
      </c>
      <c r="C29" s="137">
        <f>Scoring!D71</f>
        <v>0</v>
      </c>
      <c r="D29" s="137">
        <f>Scoring!E71</f>
        <v>0</v>
      </c>
      <c r="E29" s="137">
        <f>Scoring!F71</f>
        <v>0</v>
      </c>
    </row>
    <row r="30" ht="13.5" customHeight="1">
      <c r="A30" s="136" t="s">
        <v>206</v>
      </c>
      <c r="B30" s="137">
        <f>Scoring!C75</f>
        <v>0</v>
      </c>
      <c r="C30" s="137">
        <f>Scoring!D75</f>
        <v>0</v>
      </c>
      <c r="D30" s="137">
        <f>Scoring!E75</f>
        <v>0</v>
      </c>
      <c r="E30" s="137">
        <f>Scoring!F75</f>
        <v>0</v>
      </c>
    </row>
    <row r="31" ht="13.5" customHeight="1">
      <c r="A31" s="136" t="s">
        <v>207</v>
      </c>
      <c r="B31" s="137">
        <f>Scoring!C79</f>
        <v>0</v>
      </c>
      <c r="C31" s="137">
        <f>Scoring!D79</f>
        <v>0</v>
      </c>
      <c r="D31" s="137">
        <f>Scoring!E79</f>
        <v>0</v>
      </c>
      <c r="E31" s="137">
        <f>Scoring!F79</f>
        <v>0</v>
      </c>
    </row>
    <row r="32" ht="13.5" customHeight="1">
      <c r="A32" s="136" t="s">
        <v>208</v>
      </c>
      <c r="B32" s="137">
        <f>Scoring!C83</f>
        <v>0</v>
      </c>
      <c r="C32" s="137">
        <f>Scoring!D83</f>
        <v>0</v>
      </c>
      <c r="D32" s="137">
        <f>Scoring!E83</f>
        <v>0</v>
      </c>
      <c r="E32" s="137">
        <f>Scoring!F83</f>
        <v>0</v>
      </c>
    </row>
    <row r="33" ht="15.75" customHeight="1">
      <c r="A33" s="138" t="s">
        <v>209</v>
      </c>
      <c r="B33" s="139"/>
      <c r="C33" s="139"/>
      <c r="D33" s="139"/>
      <c r="E33" s="139"/>
      <c r="F33" s="139"/>
    </row>
    <row r="34" ht="13.5" customHeight="1">
      <c r="A34" s="140" t="s">
        <v>210</v>
      </c>
      <c r="B34" s="141">
        <f>Scoring!C91</f>
        <v>0</v>
      </c>
      <c r="C34" s="141">
        <f>Scoring!D91</f>
        <v>0</v>
      </c>
      <c r="D34" s="141">
        <f>Scoring!E91</f>
        <v>0</v>
      </c>
      <c r="E34" s="141">
        <f>Scoring!F91</f>
        <v>0</v>
      </c>
    </row>
    <row r="35" ht="13.5" customHeight="1">
      <c r="A35" s="140" t="s">
        <v>211</v>
      </c>
      <c r="B35" s="141">
        <f>Scoring!C95</f>
        <v>0</v>
      </c>
      <c r="C35" s="141">
        <f>Scoring!D95</f>
        <v>0</v>
      </c>
      <c r="D35" s="141">
        <f>Scoring!E95</f>
        <v>0</v>
      </c>
      <c r="E35" s="141">
        <f>Scoring!F95</f>
        <v>0</v>
      </c>
    </row>
    <row r="36" ht="13.5" customHeight="1">
      <c r="A36" s="140" t="s">
        <v>212</v>
      </c>
      <c r="B36" s="141">
        <f>Scoring!C100</f>
        <v>0</v>
      </c>
      <c r="C36" s="141">
        <f>Scoring!D100</f>
        <v>0</v>
      </c>
      <c r="D36" s="141">
        <f>Scoring!E100</f>
        <v>0</v>
      </c>
      <c r="E36" s="141">
        <f>Scoring!F100</f>
        <v>0</v>
      </c>
    </row>
    <row r="37" ht="15.75" customHeight="1">
      <c r="A37" s="142" t="s">
        <v>213</v>
      </c>
      <c r="B37" s="143"/>
      <c r="C37" s="143"/>
      <c r="D37" s="143"/>
      <c r="E37" s="143"/>
      <c r="F37" s="143"/>
    </row>
    <row r="38" ht="13.5" customHeight="1">
      <c r="A38" s="144" t="s">
        <v>214</v>
      </c>
      <c r="B38" s="145">
        <f>Scoring!C108</f>
        <v>0</v>
      </c>
      <c r="C38" s="145">
        <f>Scoring!D108</f>
        <v>0</v>
      </c>
      <c r="D38" s="145">
        <f>Scoring!E108</f>
        <v>0</v>
      </c>
      <c r="E38" s="145">
        <f>Scoring!F108</f>
        <v>0</v>
      </c>
    </row>
    <row r="39" ht="13.5" customHeight="1">
      <c r="A39" s="144" t="s">
        <v>215</v>
      </c>
      <c r="B39" s="145">
        <f>Scoring!C113</f>
        <v>0</v>
      </c>
      <c r="C39" s="145">
        <f>Scoring!D113</f>
        <v>0</v>
      </c>
      <c r="D39" s="145">
        <f>Scoring!E113</f>
        <v>0</v>
      </c>
      <c r="E39" s="145">
        <f>Scoring!F113</f>
        <v>0</v>
      </c>
    </row>
    <row r="40" ht="13.5" customHeight="1">
      <c r="A40" s="144" t="s">
        <v>216</v>
      </c>
      <c r="B40" s="145">
        <f>Scoring!C119</f>
        <v>0</v>
      </c>
      <c r="C40" s="145">
        <f>Scoring!D119</f>
        <v>0</v>
      </c>
      <c r="D40" s="145">
        <f>Scoring!E119</f>
        <v>0</v>
      </c>
      <c r="E40" s="145">
        <f>Scoring!F119</f>
        <v>0</v>
      </c>
    </row>
    <row r="41" ht="13.5" customHeight="1">
      <c r="A41" s="144" t="s">
        <v>217</v>
      </c>
      <c r="B41" s="145">
        <f>Scoring!C124</f>
        <v>0</v>
      </c>
      <c r="C41" s="145">
        <f>Scoring!D124</f>
        <v>0</v>
      </c>
      <c r="D41" s="145">
        <f>Scoring!E124</f>
        <v>0</v>
      </c>
      <c r="E41" s="145">
        <f>Scoring!F124</f>
        <v>0</v>
      </c>
    </row>
    <row r="42" ht="15.75" customHeight="1"/>
    <row r="43" ht="15.75" customHeight="1"/>
    <row r="44" ht="15.75" customHeight="1"/>
    <row r="45" ht="15.75" customHeight="1">
      <c r="A45" s="84"/>
      <c r="B45" s="84"/>
      <c r="C45" s="84"/>
      <c r="D45" s="84"/>
      <c r="E45" s="84"/>
    </row>
    <row r="46" ht="15.75" customHeight="1">
      <c r="A46" s="84"/>
      <c r="B46" s="146"/>
      <c r="C46" s="146"/>
      <c r="D46" s="146"/>
      <c r="E46" s="146"/>
    </row>
    <row r="47" ht="15.75" customHeight="1">
      <c r="A47" s="84"/>
      <c r="B47" s="146"/>
      <c r="C47" s="146"/>
      <c r="D47" s="146"/>
      <c r="E47" s="146"/>
    </row>
    <row r="48" ht="15.75" customHeight="1">
      <c r="A48" s="84"/>
      <c r="B48" s="146"/>
      <c r="C48" s="146"/>
      <c r="D48" s="146"/>
      <c r="E48" s="146"/>
    </row>
    <row r="49" ht="15.75" customHeight="1">
      <c r="A49" s="84"/>
      <c r="B49" s="146"/>
      <c r="C49" s="146"/>
      <c r="D49" s="146"/>
      <c r="E49" s="146"/>
    </row>
    <row r="50" ht="15.75" customHeight="1">
      <c r="A50" s="84"/>
      <c r="B50" s="146"/>
      <c r="C50" s="146"/>
      <c r="D50" s="146"/>
      <c r="E50" s="14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F1"/>
    <mergeCell ref="A3:F3"/>
    <mergeCell ref="A14:F14"/>
  </mergeCells>
  <printOptions/>
  <pageMargins bottom="1.0" footer="0.0" header="0.0" left="0.75" right="0.75" top="1.0"/>
  <pageSetup paperSize="9" orientation="portrait"/>
  <drawing r:id="rId1"/>
</worksheet>
</file>